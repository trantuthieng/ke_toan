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800" windowHeight="13620"/>
  </bookViews>
  <sheets>
    <sheet name="SÔ" sheetId="19" r:id="rId1"/>
    <sheet name="Sheet1" sheetId="20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9" l="1"/>
  <c r="D35" i="19"/>
  <c r="C33" i="19"/>
  <c r="C16" i="19"/>
  <c r="C18" i="19"/>
  <c r="C11" i="19"/>
  <c r="F29" i="19"/>
  <c r="E29" i="19"/>
  <c r="C34" i="19"/>
  <c r="C30" i="19"/>
  <c r="B55" i="19"/>
  <c r="D55" i="19"/>
  <c r="C52" i="19"/>
  <c r="C50" i="19"/>
  <c r="C48" i="19"/>
  <c r="C43" i="19"/>
  <c r="C42" i="19"/>
  <c r="C41" i="19"/>
  <c r="C55" i="19" l="1"/>
  <c r="C26" i="19"/>
  <c r="C25" i="19"/>
  <c r="C22" i="19"/>
  <c r="C20" i="19"/>
  <c r="C10" i="19"/>
  <c r="C19" i="19"/>
  <c r="C15" i="19"/>
  <c r="C13" i="19"/>
  <c r="C8" i="19"/>
  <c r="C12" i="19"/>
  <c r="C7" i="19"/>
  <c r="C6" i="19"/>
  <c r="C5" i="19"/>
  <c r="C4" i="19"/>
  <c r="C3" i="19"/>
  <c r="C35" i="19" s="1"/>
  <c r="F34" i="19" l="1"/>
  <c r="E34" i="19"/>
  <c r="E4" i="19" l="1"/>
  <c r="F4" i="19"/>
  <c r="E5" i="19"/>
  <c r="F5" i="19"/>
  <c r="E6" i="19"/>
  <c r="F6" i="19"/>
  <c r="G6" i="19" s="1"/>
  <c r="E7" i="19"/>
  <c r="F7" i="19"/>
  <c r="E8" i="19"/>
  <c r="F8" i="19"/>
  <c r="E9" i="19"/>
  <c r="F9" i="19"/>
  <c r="E10" i="19"/>
  <c r="F10" i="19"/>
  <c r="G10" i="19" s="1"/>
  <c r="E11" i="19"/>
  <c r="F11" i="19"/>
  <c r="E12" i="19"/>
  <c r="F12" i="19"/>
  <c r="E13" i="19"/>
  <c r="F13" i="19"/>
  <c r="E14" i="19"/>
  <c r="F14" i="19"/>
  <c r="E15" i="19"/>
  <c r="F15" i="19"/>
  <c r="E16" i="19"/>
  <c r="F16" i="19"/>
  <c r="E17" i="19"/>
  <c r="F17" i="19"/>
  <c r="E18" i="19"/>
  <c r="F18" i="19"/>
  <c r="G18" i="19" s="1"/>
  <c r="E19" i="19"/>
  <c r="F19" i="19"/>
  <c r="E20" i="19"/>
  <c r="F20" i="19"/>
  <c r="E21" i="19"/>
  <c r="F21" i="19"/>
  <c r="E22" i="19"/>
  <c r="F22" i="19"/>
  <c r="G22" i="19" s="1"/>
  <c r="E23" i="19"/>
  <c r="F23" i="19"/>
  <c r="E24" i="19"/>
  <c r="F24" i="19"/>
  <c r="E25" i="19"/>
  <c r="F25" i="19"/>
  <c r="E26" i="19"/>
  <c r="F26" i="19"/>
  <c r="G26" i="19" s="1"/>
  <c r="E27" i="19"/>
  <c r="F27" i="19"/>
  <c r="E28" i="19"/>
  <c r="F28" i="19"/>
  <c r="E30" i="19"/>
  <c r="F30" i="19"/>
  <c r="G30" i="19" s="1"/>
  <c r="E31" i="19"/>
  <c r="F31" i="19"/>
  <c r="E32" i="19"/>
  <c r="F32" i="19"/>
  <c r="E33" i="19"/>
  <c r="F33" i="19"/>
  <c r="G34" i="19"/>
  <c r="E36" i="19"/>
  <c r="F36" i="19"/>
  <c r="E37" i="19"/>
  <c r="F37" i="19"/>
  <c r="E38" i="19"/>
  <c r="F38" i="19"/>
  <c r="E39" i="19"/>
  <c r="F39" i="19"/>
  <c r="E40" i="19"/>
  <c r="F40" i="19"/>
  <c r="E41" i="19"/>
  <c r="F41" i="19"/>
  <c r="E42" i="19"/>
  <c r="F42" i="19"/>
  <c r="E43" i="19"/>
  <c r="F43" i="19"/>
  <c r="E44" i="19"/>
  <c r="F44" i="19"/>
  <c r="E45" i="19"/>
  <c r="F45" i="19"/>
  <c r="E46" i="19"/>
  <c r="F46" i="19"/>
  <c r="E47" i="19"/>
  <c r="F47" i="19"/>
  <c r="E48" i="19"/>
  <c r="F48" i="19"/>
  <c r="E49" i="19"/>
  <c r="F49" i="19"/>
  <c r="E50" i="19"/>
  <c r="F50" i="19"/>
  <c r="E51" i="19"/>
  <c r="F51" i="19"/>
  <c r="E52" i="19"/>
  <c r="F52" i="19"/>
  <c r="E53" i="19"/>
  <c r="F53" i="19"/>
  <c r="E54" i="19"/>
  <c r="F54" i="19"/>
  <c r="E56" i="19"/>
  <c r="F56" i="19"/>
  <c r="E57" i="19"/>
  <c r="F57" i="19"/>
  <c r="E58" i="19"/>
  <c r="F58" i="19"/>
  <c r="E59" i="19"/>
  <c r="F59" i="19"/>
  <c r="E60" i="19"/>
  <c r="F60" i="19"/>
  <c r="E61" i="19"/>
  <c r="F61" i="19"/>
  <c r="E62" i="19"/>
  <c r="F62" i="19"/>
  <c r="E63" i="19"/>
  <c r="F63" i="19"/>
  <c r="E64" i="19"/>
  <c r="F64" i="19"/>
  <c r="E65" i="19"/>
  <c r="F65" i="19"/>
  <c r="E66" i="19"/>
  <c r="F66" i="19"/>
  <c r="E67" i="19"/>
  <c r="F67" i="19"/>
  <c r="E68" i="19"/>
  <c r="F68" i="19"/>
  <c r="E69" i="19"/>
  <c r="F69" i="19"/>
  <c r="E70" i="19"/>
  <c r="F70" i="19"/>
  <c r="E71" i="19"/>
  <c r="F71" i="19"/>
  <c r="E72" i="19"/>
  <c r="F72" i="19"/>
  <c r="E73" i="19"/>
  <c r="F73" i="19"/>
  <c r="E74" i="19"/>
  <c r="F74" i="19"/>
  <c r="E75" i="19"/>
  <c r="F75" i="19"/>
  <c r="E76" i="19"/>
  <c r="F76" i="19"/>
  <c r="E77" i="19"/>
  <c r="F77" i="19"/>
  <c r="E78" i="19"/>
  <c r="F78" i="19"/>
  <c r="E79" i="19"/>
  <c r="F79" i="19"/>
  <c r="E80" i="19"/>
  <c r="F80" i="19"/>
  <c r="E81" i="19"/>
  <c r="F81" i="19"/>
  <c r="E82" i="19"/>
  <c r="F82" i="19"/>
  <c r="E83" i="19"/>
  <c r="F83" i="19"/>
  <c r="E84" i="19"/>
  <c r="G84" i="19" s="1"/>
  <c r="F84" i="19"/>
  <c r="E85" i="19"/>
  <c r="F85" i="19"/>
  <c r="E86" i="19"/>
  <c r="F86" i="19"/>
  <c r="E87" i="19"/>
  <c r="F87" i="19"/>
  <c r="E88" i="19"/>
  <c r="G88" i="19" s="1"/>
  <c r="F88" i="19"/>
  <c r="E89" i="19"/>
  <c r="F89" i="19"/>
  <c r="E90" i="19"/>
  <c r="F90" i="19"/>
  <c r="E91" i="19"/>
  <c r="F91" i="19"/>
  <c r="E92" i="19"/>
  <c r="F92" i="19"/>
  <c r="E93" i="19"/>
  <c r="F93" i="19"/>
  <c r="E94" i="19"/>
  <c r="F94" i="19"/>
  <c r="E95" i="19"/>
  <c r="F95" i="19"/>
  <c r="E96" i="19"/>
  <c r="F96" i="19"/>
  <c r="E97" i="19"/>
  <c r="F97" i="19"/>
  <c r="E98" i="19"/>
  <c r="F98" i="19"/>
  <c r="E99" i="19"/>
  <c r="F99" i="19"/>
  <c r="E100" i="19"/>
  <c r="F100" i="19"/>
  <c r="E101" i="19"/>
  <c r="F101" i="19"/>
  <c r="E102" i="19"/>
  <c r="F102" i="19"/>
  <c r="E103" i="19"/>
  <c r="F103" i="19"/>
  <c r="E104" i="19"/>
  <c r="F104" i="19"/>
  <c r="E105" i="19"/>
  <c r="F105" i="19"/>
  <c r="E106" i="19"/>
  <c r="F106" i="19"/>
  <c r="E107" i="19"/>
  <c r="F107" i="19"/>
  <c r="E108" i="19"/>
  <c r="F108" i="19"/>
  <c r="E109" i="19"/>
  <c r="F109" i="19"/>
  <c r="E110" i="19"/>
  <c r="F110" i="19"/>
  <c r="E111" i="19"/>
  <c r="F111" i="19"/>
  <c r="E112" i="19"/>
  <c r="F112" i="19"/>
  <c r="E113" i="19"/>
  <c r="F113" i="19"/>
  <c r="E114" i="19"/>
  <c r="F114" i="19"/>
  <c r="E115" i="19"/>
  <c r="F115" i="19"/>
  <c r="E116" i="19"/>
  <c r="G116" i="19" s="1"/>
  <c r="F116" i="19"/>
  <c r="E117" i="19"/>
  <c r="F117" i="19"/>
  <c r="E118" i="19"/>
  <c r="F118" i="19"/>
  <c r="E119" i="19"/>
  <c r="F119" i="19"/>
  <c r="E120" i="19"/>
  <c r="F120" i="19"/>
  <c r="E121" i="19"/>
  <c r="F121" i="19"/>
  <c r="E122" i="19"/>
  <c r="F122" i="19"/>
  <c r="E123" i="19"/>
  <c r="F123" i="19"/>
  <c r="E124" i="19"/>
  <c r="F124" i="19"/>
  <c r="E125" i="19"/>
  <c r="F125" i="19"/>
  <c r="E126" i="19"/>
  <c r="F126" i="19"/>
  <c r="E127" i="19"/>
  <c r="F127" i="19"/>
  <c r="E128" i="19"/>
  <c r="F128" i="19"/>
  <c r="E129" i="19"/>
  <c r="F129" i="19"/>
  <c r="E130" i="19"/>
  <c r="F130" i="19"/>
  <c r="E131" i="19"/>
  <c r="F131" i="19"/>
  <c r="E132" i="19"/>
  <c r="F132" i="19"/>
  <c r="E133" i="19"/>
  <c r="F133" i="19"/>
  <c r="E134" i="19"/>
  <c r="F134" i="19"/>
  <c r="E135" i="19"/>
  <c r="F135" i="19"/>
  <c r="E136" i="19"/>
  <c r="F136" i="19"/>
  <c r="E137" i="19"/>
  <c r="F137" i="19"/>
  <c r="E138" i="19"/>
  <c r="F138" i="19"/>
  <c r="E139" i="19"/>
  <c r="F139" i="19"/>
  <c r="E140" i="19"/>
  <c r="F140" i="19"/>
  <c r="E141" i="19"/>
  <c r="F141" i="19"/>
  <c r="E142" i="19"/>
  <c r="F142" i="19"/>
  <c r="E143" i="19"/>
  <c r="F143" i="19"/>
  <c r="E144" i="19"/>
  <c r="F144" i="19"/>
  <c r="E145" i="19"/>
  <c r="F145" i="19"/>
  <c r="E146" i="19"/>
  <c r="F146" i="19"/>
  <c r="E147" i="19"/>
  <c r="F147" i="19"/>
  <c r="E148" i="19"/>
  <c r="F148" i="19"/>
  <c r="E149" i="19"/>
  <c r="F149" i="19"/>
  <c r="E150" i="19"/>
  <c r="F150" i="19"/>
  <c r="E151" i="19"/>
  <c r="F151" i="19"/>
  <c r="E152" i="19"/>
  <c r="F152" i="19"/>
  <c r="E153" i="19"/>
  <c r="F153" i="19"/>
  <c r="E154" i="19"/>
  <c r="F154" i="19"/>
  <c r="E155" i="19"/>
  <c r="F155" i="19"/>
  <c r="E156" i="19"/>
  <c r="F156" i="19"/>
  <c r="E157" i="19"/>
  <c r="F157" i="19"/>
  <c r="E158" i="19"/>
  <c r="F158" i="19"/>
  <c r="E159" i="19"/>
  <c r="F159" i="19"/>
  <c r="E160" i="19"/>
  <c r="F160" i="19"/>
  <c r="E161" i="19"/>
  <c r="F161" i="19"/>
  <c r="E162" i="19"/>
  <c r="F162" i="19"/>
  <c r="E163" i="19"/>
  <c r="F163" i="19"/>
  <c r="E164" i="19"/>
  <c r="F164" i="19"/>
  <c r="E165" i="19"/>
  <c r="F165" i="19"/>
  <c r="E166" i="19"/>
  <c r="F166" i="19"/>
  <c r="E167" i="19"/>
  <c r="F167" i="19"/>
  <c r="E168" i="19"/>
  <c r="F168" i="19"/>
  <c r="E169" i="19"/>
  <c r="F169" i="19"/>
  <c r="E170" i="19"/>
  <c r="F170" i="19"/>
  <c r="E171" i="19"/>
  <c r="F171" i="19"/>
  <c r="E172" i="19"/>
  <c r="F172" i="19"/>
  <c r="E173" i="19"/>
  <c r="F173" i="19"/>
  <c r="E174" i="19"/>
  <c r="F174" i="19"/>
  <c r="E175" i="19"/>
  <c r="F175" i="19"/>
  <c r="E176" i="19"/>
  <c r="F176" i="19"/>
  <c r="E177" i="19"/>
  <c r="F177" i="19"/>
  <c r="E178" i="19"/>
  <c r="F178" i="19"/>
  <c r="E179" i="19"/>
  <c r="F179" i="19"/>
  <c r="E180" i="19"/>
  <c r="F180" i="19"/>
  <c r="E181" i="19"/>
  <c r="F181" i="19"/>
  <c r="E182" i="19"/>
  <c r="F182" i="19"/>
  <c r="E183" i="19"/>
  <c r="F183" i="19"/>
  <c r="E184" i="19"/>
  <c r="F184" i="19"/>
  <c r="E185" i="19"/>
  <c r="F185" i="19"/>
  <c r="F3" i="19"/>
  <c r="G184" i="19" l="1"/>
  <c r="G180" i="19"/>
  <c r="G168" i="19"/>
  <c r="G164" i="19"/>
  <c r="G148" i="19"/>
  <c r="G179" i="19"/>
  <c r="G175" i="19"/>
  <c r="G171" i="19"/>
  <c r="G163" i="19"/>
  <c r="G159" i="19"/>
  <c r="G155" i="19"/>
  <c r="G115" i="19"/>
  <c r="G149" i="19"/>
  <c r="G152" i="19"/>
  <c r="G120" i="19"/>
  <c r="G56" i="19"/>
  <c r="G51" i="19"/>
  <c r="G14" i="19"/>
  <c r="F35" i="19"/>
  <c r="G117" i="19"/>
  <c r="G111" i="19"/>
  <c r="G107" i="19"/>
  <c r="G99" i="19"/>
  <c r="G95" i="19"/>
  <c r="G91" i="19"/>
  <c r="G83" i="19"/>
  <c r="G79" i="19"/>
  <c r="G75" i="19"/>
  <c r="G67" i="19"/>
  <c r="G63" i="19"/>
  <c r="G59" i="19"/>
  <c r="G181" i="19"/>
  <c r="G136" i="19"/>
  <c r="G132" i="19"/>
  <c r="G147" i="19"/>
  <c r="G143" i="19"/>
  <c r="G139" i="19"/>
  <c r="G131" i="19"/>
  <c r="G127" i="19"/>
  <c r="G123" i="19"/>
  <c r="G40" i="19"/>
  <c r="G160" i="19"/>
  <c r="G156" i="19"/>
  <c r="G128" i="19"/>
  <c r="G124" i="19"/>
  <c r="G68" i="19"/>
  <c r="G85" i="19"/>
  <c r="G158" i="19"/>
  <c r="G126" i="19"/>
  <c r="G72" i="19"/>
  <c r="G165" i="19"/>
  <c r="G133" i="19"/>
  <c r="G176" i="19"/>
  <c r="G174" i="19"/>
  <c r="G172" i="19"/>
  <c r="G144" i="19"/>
  <c r="G142" i="19"/>
  <c r="G140" i="19"/>
  <c r="G104" i="19"/>
  <c r="G100" i="19"/>
  <c r="G92" i="19"/>
  <c r="G96" i="19"/>
  <c r="G94" i="19"/>
  <c r="G64" i="19"/>
  <c r="G60" i="19"/>
  <c r="G101" i="19"/>
  <c r="G69" i="19"/>
  <c r="G62" i="19"/>
  <c r="G112" i="19"/>
  <c r="G110" i="19"/>
  <c r="G108" i="19"/>
  <c r="G80" i="19"/>
  <c r="G78" i="19"/>
  <c r="G76" i="19"/>
  <c r="G37" i="19"/>
  <c r="G32" i="19"/>
  <c r="G31" i="19"/>
  <c r="G177" i="19"/>
  <c r="G154" i="19"/>
  <c r="G145" i="19"/>
  <c r="G138" i="19"/>
  <c r="G129" i="19"/>
  <c r="G122" i="19"/>
  <c r="G113" i="19"/>
  <c r="G106" i="19"/>
  <c r="G97" i="19"/>
  <c r="G90" i="19"/>
  <c r="G81" i="19"/>
  <c r="G74" i="19"/>
  <c r="G65" i="19"/>
  <c r="G58" i="19"/>
  <c r="G52" i="19"/>
  <c r="G44" i="19"/>
  <c r="G23" i="19"/>
  <c r="G21" i="19"/>
  <c r="G19" i="19"/>
  <c r="G17" i="19"/>
  <c r="G15" i="19"/>
  <c r="G11" i="19"/>
  <c r="G9" i="19"/>
  <c r="G170" i="19"/>
  <c r="G161" i="19"/>
  <c r="G182" i="19"/>
  <c r="G166" i="19"/>
  <c r="G157" i="19"/>
  <c r="G150" i="19"/>
  <c r="G141" i="19"/>
  <c r="G134" i="19"/>
  <c r="G125" i="19"/>
  <c r="G118" i="19"/>
  <c r="G109" i="19"/>
  <c r="G102" i="19"/>
  <c r="G93" i="19"/>
  <c r="G86" i="19"/>
  <c r="G77" i="19"/>
  <c r="G70" i="19"/>
  <c r="G61" i="19"/>
  <c r="F55" i="19"/>
  <c r="G38" i="19"/>
  <c r="G33" i="19"/>
  <c r="G173" i="19"/>
  <c r="G185" i="19"/>
  <c r="G183" i="19"/>
  <c r="G178" i="19"/>
  <c r="G169" i="19"/>
  <c r="G167" i="19"/>
  <c r="G162" i="19"/>
  <c r="G153" i="19"/>
  <c r="G151" i="19"/>
  <c r="G146" i="19"/>
  <c r="G137" i="19"/>
  <c r="G135" i="19"/>
  <c r="G130" i="19"/>
  <c r="G121" i="19"/>
  <c r="G119" i="19"/>
  <c r="G114" i="19"/>
  <c r="G105" i="19"/>
  <c r="G103" i="19"/>
  <c r="G98" i="19"/>
  <c r="G89" i="19"/>
  <c r="G87" i="19"/>
  <c r="G82" i="19"/>
  <c r="G73" i="19"/>
  <c r="G71" i="19"/>
  <c r="G66" i="19"/>
  <c r="G57" i="19"/>
  <c r="E55" i="19"/>
  <c r="G39" i="19"/>
  <c r="G36" i="19"/>
  <c r="G28" i="19"/>
  <c r="G27" i="19"/>
  <c r="G54" i="19"/>
  <c r="G53" i="19"/>
  <c r="G48" i="19"/>
  <c r="G47" i="19"/>
  <c r="G45" i="19"/>
  <c r="G43" i="19"/>
  <c r="G41" i="19"/>
  <c r="G50" i="19"/>
  <c r="G49" i="19"/>
  <c r="G46" i="19"/>
  <c r="G42" i="19"/>
  <c r="G25" i="19"/>
  <c r="G24" i="19"/>
  <c r="G20" i="19"/>
  <c r="G16" i="19"/>
  <c r="G13" i="19"/>
  <c r="G12" i="19"/>
  <c r="G8" i="19"/>
  <c r="G7" i="19"/>
  <c r="G5" i="19"/>
  <c r="G4" i="19"/>
  <c r="E3" i="19"/>
  <c r="G3" i="19" s="1"/>
  <c r="E35" i="19" l="1"/>
  <c r="G35" i="19"/>
  <c r="G55" i="19"/>
</calcChain>
</file>

<file path=xl/sharedStrings.xml><?xml version="1.0" encoding="utf-8"?>
<sst xmlns="http://schemas.openxmlformats.org/spreadsheetml/2006/main" count="7" uniqueCount="7">
  <si>
    <t>SL</t>
  </si>
  <si>
    <t>GIÁ</t>
  </si>
  <si>
    <t>T.TIỀN</t>
  </si>
  <si>
    <t>SC</t>
  </si>
  <si>
    <t>KH</t>
  </si>
  <si>
    <t>VU</t>
  </si>
  <si>
    <t xml:space="preserve">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</si>
</sst>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4" x14ac:knownFonts="1">
    <font>
      <sz val="14"/>
      <name val="Arial"/>
    </font>
    <font>
      <b/>
      <sz val="8"/>
      <name val="Arial"/>
      <family val="2"/>
    </font>
    <font>
      <sz val="8"/>
      <color indexed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5"/>
  <sheetViews>
    <sheetView tabSelected="1" topLeftCell="A34" zoomScale="240" zoomScaleNormal="240" workbookViewId="0">
      <selection activeCell="A35" sqref="A35"/>
    </sheetView>
  </sheetViews>
  <sheetFormatPr defaultRowHeight="11.25" x14ac:dyDescent="0.2"/>
  <cols>
    <col min="1" max="1" width="7.26953125" style="3" customWidth="1"/>
    <col min="2" max="2" width="3.1796875" style="3" customWidth="1"/>
    <col min="3" max="3" width="3.90625" style="3" customWidth="1"/>
    <col min="4" max="4" width="3.6328125" style="3" customWidth="1"/>
    <col min="5" max="6" width="5" style="3" customWidth="1"/>
    <col min="7" max="7" width="8.984375E-2" style="1" customWidth="1"/>
    <col min="8" max="8" width="6.7265625" style="1" customWidth="1"/>
    <col min="9" max="9" width="6.7265625" style="2" customWidth="1"/>
    <col min="10" max="16384" width="8.7265625" style="3"/>
  </cols>
  <sheetData>
    <row r="1" spans="1:7" ht="15" customHeight="1" x14ac:dyDescent="0.2">
      <c r="A1" s="5">
        <v>46026</v>
      </c>
      <c r="B1" s="5"/>
      <c r="C1" s="5"/>
      <c r="D1" s="5"/>
      <c r="E1" s="5"/>
      <c r="F1" s="5"/>
    </row>
    <row r="2" spans="1:7" ht="15" customHeight="1" x14ac:dyDescent="0.2">
      <c r="A2" s="4" t="s">
        <v>4</v>
      </c>
      <c r="B2" s="4" t="s">
        <v>3</v>
      </c>
      <c r="C2" s="4" t="s">
        <v>0</v>
      </c>
      <c r="D2" s="4" t="s">
        <v>1</v>
      </c>
      <c r="E2" s="4" t="s">
        <v>2</v>
      </c>
      <c r="F2" s="4"/>
    </row>
    <row r="3" spans="1:7" ht="10.5" customHeight="1" x14ac:dyDescent="0.2">
      <c r="A3" s="3" t="s">
        <v>5</v>
      </c>
      <c r="B3" s="3">
        <v>7</v>
      </c>
      <c r="C3" s="3">
        <f>94+97.8+87.8+82.2+94.5+84.5+82.6-1.5</f>
        <v>621.9</v>
      </c>
      <c r="D3" s="3">
        <v>84</v>
      </c>
      <c r="E3" s="3">
        <f t="shared" ref="E3" si="0">INT(C3*D3)</f>
        <v>52239</v>
      </c>
      <c r="F3" s="3">
        <f>IF(INT(C3*(D3-1.5)&lt;0),0,INT(C3*(D3-1.5)))</f>
        <v>51306</v>
      </c>
      <c r="G3" s="1">
        <f>E3-(C3*1.5)-F3</f>
        <v>0.15000000000145519</v>
      </c>
    </row>
    <row r="4" spans="1:7" x14ac:dyDescent="0.2">
      <c r="B4" s="3">
        <v>2</v>
      </c>
      <c r="C4" s="3">
        <f>91.8+88.2-1</f>
        <v>179</v>
      </c>
      <c r="D4" s="3">
        <v>85</v>
      </c>
      <c r="E4" s="3">
        <f t="shared" ref="E4:E7" si="1">INT(C4*D4)</f>
        <v>15215</v>
      </c>
      <c r="F4" s="3">
        <f t="shared" ref="F4:F7" si="2">IF(INT(C4*(D4-1.5)&lt;0),0,INT(C4*(D4-1.5)))</f>
        <v>14946</v>
      </c>
      <c r="G4" s="1">
        <f t="shared" ref="G4:G52" si="3">E4-(C4*1.5)-F4</f>
        <v>0.5</v>
      </c>
    </row>
    <row r="5" spans="1:7" x14ac:dyDescent="0.2">
      <c r="B5" s="3">
        <v>8</v>
      </c>
      <c r="C5" s="3">
        <f>104.7+88.4+87.5+83.9+86.4+103+85.1+93.4-2</f>
        <v>730.4</v>
      </c>
      <c r="D5" s="3">
        <v>84</v>
      </c>
      <c r="E5" s="3">
        <f t="shared" si="1"/>
        <v>61353</v>
      </c>
      <c r="F5" s="3">
        <f t="shared" si="2"/>
        <v>60258</v>
      </c>
      <c r="G5" s="1">
        <f t="shared" si="3"/>
        <v>-0.59999999999854481</v>
      </c>
    </row>
    <row r="6" spans="1:7" x14ac:dyDescent="0.2">
      <c r="B6" s="3">
        <v>4</v>
      </c>
      <c r="C6" s="3">
        <f>97.9+97.6+86.8+85.3-1</f>
        <v>366.6</v>
      </c>
      <c r="D6" s="3">
        <v>85</v>
      </c>
      <c r="E6" s="3">
        <f t="shared" si="1"/>
        <v>31161</v>
      </c>
      <c r="F6" s="3">
        <f t="shared" si="2"/>
        <v>30611</v>
      </c>
      <c r="G6" s="1">
        <f t="shared" si="3"/>
        <v>9.9999999998544808E-2</v>
      </c>
    </row>
    <row r="7" spans="1:7" x14ac:dyDescent="0.2">
      <c r="B7" s="3">
        <v>7</v>
      </c>
      <c r="C7" s="3">
        <f>89.6+96.8+92.3+80+87.4+89.3+80.8-5.5-15.4-2</f>
        <v>593.29999999999995</v>
      </c>
      <c r="D7" s="3">
        <v>87</v>
      </c>
      <c r="E7" s="3">
        <f t="shared" si="1"/>
        <v>51617</v>
      </c>
      <c r="F7" s="3">
        <f t="shared" si="2"/>
        <v>50727</v>
      </c>
      <c r="G7" s="1">
        <f t="shared" si="3"/>
        <v>5.0000000002910383E-2</v>
      </c>
    </row>
    <row r="8" spans="1:7" x14ac:dyDescent="0.2">
      <c r="B8" s="3">
        <v>10</v>
      </c>
      <c r="C8" s="3">
        <f>99.1+94.4+107+108.5+94.6+89.8+98.1+91+99+97.6-7-2</f>
        <v>970.1</v>
      </c>
      <c r="D8" s="3">
        <v>83.5</v>
      </c>
      <c r="E8" s="3">
        <f t="shared" ref="E8:E52" si="4">INT(C8*D8)</f>
        <v>81003</v>
      </c>
      <c r="F8" s="3">
        <f t="shared" ref="F8:F52" si="5">IF(INT(C8*(D8-1.5)&lt;0),0,INT(C8*(D8-1.5)))</f>
        <v>79548</v>
      </c>
      <c r="G8" s="1">
        <f t="shared" si="3"/>
        <v>-0.14999999999417923</v>
      </c>
    </row>
    <row r="9" spans="1:7" x14ac:dyDescent="0.2">
      <c r="E9" s="3">
        <f t="shared" si="4"/>
        <v>0</v>
      </c>
      <c r="F9" s="3">
        <f t="shared" si="5"/>
        <v>0</v>
      </c>
      <c r="G9" s="1">
        <f t="shared" si="3"/>
        <v>0</v>
      </c>
    </row>
    <row r="10" spans="1:7" x14ac:dyDescent="0.2">
      <c r="B10" s="3">
        <v>3</v>
      </c>
      <c r="C10" s="3">
        <f>89.8+92.2+90.2-0.5-2</f>
        <v>269.7</v>
      </c>
      <c r="D10" s="3">
        <v>85</v>
      </c>
      <c r="E10" s="3">
        <f t="shared" si="4"/>
        <v>22924</v>
      </c>
      <c r="F10" s="3">
        <f t="shared" si="5"/>
        <v>22519</v>
      </c>
      <c r="G10" s="1">
        <f t="shared" si="3"/>
        <v>0.4500000000007276</v>
      </c>
    </row>
    <row r="11" spans="1:7" x14ac:dyDescent="0.2">
      <c r="B11" s="3">
        <v>6</v>
      </c>
      <c r="C11" s="3">
        <f>98.3+95.1+99.5+94.1+92.8+98.4-3-1</f>
        <v>574.20000000000005</v>
      </c>
      <c r="D11" s="3">
        <v>86</v>
      </c>
      <c r="E11" s="3">
        <f t="shared" si="4"/>
        <v>49381</v>
      </c>
      <c r="F11" s="3">
        <f t="shared" si="5"/>
        <v>48519</v>
      </c>
      <c r="G11" s="1">
        <f t="shared" si="3"/>
        <v>0.69999999999708962</v>
      </c>
    </row>
    <row r="12" spans="1:7" x14ac:dyDescent="0.2">
      <c r="B12" s="3">
        <v>2.5</v>
      </c>
      <c r="C12" s="3">
        <f>94.6+93.1+40.4-1</f>
        <v>227.1</v>
      </c>
      <c r="D12" s="3">
        <v>86</v>
      </c>
      <c r="E12" s="3">
        <f t="shared" si="4"/>
        <v>19530</v>
      </c>
      <c r="F12" s="3">
        <f t="shared" si="5"/>
        <v>19189</v>
      </c>
      <c r="G12" s="1">
        <f t="shared" si="3"/>
        <v>0.34999999999854481</v>
      </c>
    </row>
    <row r="13" spans="1:7" x14ac:dyDescent="0.2">
      <c r="B13" s="3">
        <v>6</v>
      </c>
      <c r="C13" s="3">
        <f>91.9+85+85.2+96.5+92.7+80.8-1</f>
        <v>531.1</v>
      </c>
      <c r="D13" s="3">
        <v>83</v>
      </c>
      <c r="E13" s="3">
        <f t="shared" si="4"/>
        <v>44081</v>
      </c>
      <c r="F13" s="3">
        <f t="shared" si="5"/>
        <v>43284</v>
      </c>
      <c r="G13" s="1">
        <f t="shared" si="3"/>
        <v>0.34999999999854481</v>
      </c>
    </row>
    <row r="14" spans="1:7" x14ac:dyDescent="0.2">
      <c r="B14" s="3">
        <v>1</v>
      </c>
      <c r="C14" s="3">
        <v>80.2</v>
      </c>
      <c r="D14" s="3">
        <v>86</v>
      </c>
      <c r="E14" s="3">
        <f t="shared" si="4"/>
        <v>6897</v>
      </c>
      <c r="F14" s="3">
        <f t="shared" si="5"/>
        <v>6776</v>
      </c>
      <c r="G14" s="1">
        <f t="shared" si="3"/>
        <v>0.6999999999998181</v>
      </c>
    </row>
    <row r="15" spans="1:7" x14ac:dyDescent="0.2">
      <c r="B15" s="3">
        <v>9.5</v>
      </c>
      <c r="C15" s="3">
        <f>97.3+88+89.9+86.3+134.1+99.1+87.8+100.6+86.4-2</f>
        <v>867.5</v>
      </c>
      <c r="D15" s="3">
        <v>83</v>
      </c>
      <c r="E15" s="3">
        <f t="shared" si="4"/>
        <v>72002</v>
      </c>
      <c r="F15" s="3">
        <f t="shared" si="5"/>
        <v>70701</v>
      </c>
      <c r="G15" s="1">
        <f t="shared" si="3"/>
        <v>-0.25</v>
      </c>
    </row>
    <row r="16" spans="1:7" x14ac:dyDescent="0.2">
      <c r="B16" s="3">
        <v>5</v>
      </c>
      <c r="C16" s="3">
        <f>103+96.7+87.6+97.7+97.3-1-2</f>
        <v>479.29999999999995</v>
      </c>
      <c r="D16" s="3">
        <v>83</v>
      </c>
      <c r="E16" s="3">
        <f t="shared" si="4"/>
        <v>39781</v>
      </c>
      <c r="F16" s="3">
        <f t="shared" si="5"/>
        <v>39062</v>
      </c>
      <c r="G16" s="1">
        <f t="shared" si="3"/>
        <v>5.0000000002910383E-2</v>
      </c>
    </row>
    <row r="17" spans="2:7" x14ac:dyDescent="0.2">
      <c r="E17" s="3">
        <f t="shared" si="4"/>
        <v>0</v>
      </c>
      <c r="F17" s="3">
        <f t="shared" si="5"/>
        <v>0</v>
      </c>
      <c r="G17" s="1">
        <f t="shared" si="3"/>
        <v>0</v>
      </c>
    </row>
    <row r="18" spans="2:7" x14ac:dyDescent="0.2">
      <c r="B18" s="3">
        <v>10.5</v>
      </c>
      <c r="C18" s="3">
        <f>82.8+87.4+87.5+86.3+89.2+86.2+86+88.3+80.8+121.9-6-27</f>
        <v>863.39999999999986</v>
      </c>
      <c r="D18" s="3">
        <v>86</v>
      </c>
      <c r="E18" s="3">
        <f t="shared" si="4"/>
        <v>74252</v>
      </c>
      <c r="F18" s="3">
        <f t="shared" si="5"/>
        <v>72957</v>
      </c>
      <c r="G18" s="1">
        <f t="shared" si="3"/>
        <v>-0.10000000000582077</v>
      </c>
    </row>
    <row r="19" spans="2:7" x14ac:dyDescent="0.2">
      <c r="B19" s="3">
        <v>4</v>
      </c>
      <c r="C19" s="3">
        <f>95.6+97.2+89.2+88.9-1</f>
        <v>369.9</v>
      </c>
      <c r="D19" s="3">
        <v>84</v>
      </c>
      <c r="E19" s="3">
        <f t="shared" si="4"/>
        <v>31071</v>
      </c>
      <c r="F19" s="3">
        <f t="shared" si="5"/>
        <v>30516</v>
      </c>
      <c r="G19" s="1">
        <f t="shared" si="3"/>
        <v>0.15000000000145519</v>
      </c>
    </row>
    <row r="20" spans="2:7" x14ac:dyDescent="0.2">
      <c r="B20" s="3">
        <v>4</v>
      </c>
      <c r="C20" s="3">
        <f>96.2+86.2+99.5+88.8-3</f>
        <v>367.7</v>
      </c>
      <c r="D20" s="3">
        <v>88</v>
      </c>
      <c r="E20" s="3">
        <f t="shared" si="4"/>
        <v>32357</v>
      </c>
      <c r="F20" s="3">
        <f t="shared" si="5"/>
        <v>31806</v>
      </c>
      <c r="G20" s="1">
        <f t="shared" si="3"/>
        <v>-0.5499999999992724</v>
      </c>
    </row>
    <row r="21" spans="2:7" x14ac:dyDescent="0.2">
      <c r="B21" s="3">
        <v>0.5</v>
      </c>
      <c r="C21" s="3">
        <v>51.8</v>
      </c>
      <c r="D21" s="3">
        <v>89</v>
      </c>
      <c r="E21" s="3">
        <f t="shared" si="4"/>
        <v>4610</v>
      </c>
      <c r="F21" s="3">
        <f t="shared" si="5"/>
        <v>4532</v>
      </c>
      <c r="G21" s="1">
        <f t="shared" si="3"/>
        <v>0.3000000000001819</v>
      </c>
    </row>
    <row r="22" spans="2:7" x14ac:dyDescent="0.2">
      <c r="B22" s="3">
        <v>0.5</v>
      </c>
      <c r="C22" s="3">
        <f>52.3-0.5</f>
        <v>51.8</v>
      </c>
      <c r="D22" s="3">
        <v>89</v>
      </c>
      <c r="E22" s="3">
        <f t="shared" si="4"/>
        <v>4610</v>
      </c>
      <c r="F22" s="3">
        <f t="shared" si="5"/>
        <v>4532</v>
      </c>
      <c r="G22" s="1">
        <f t="shared" si="3"/>
        <v>0.3000000000001819</v>
      </c>
    </row>
    <row r="23" spans="2:7" x14ac:dyDescent="0.2">
      <c r="B23" s="3">
        <v>1.5</v>
      </c>
      <c r="C23" s="3">
        <v>102.9</v>
      </c>
      <c r="D23" s="3">
        <v>90</v>
      </c>
      <c r="E23" s="3">
        <f t="shared" si="4"/>
        <v>9261</v>
      </c>
      <c r="F23" s="3">
        <f t="shared" si="5"/>
        <v>9106</v>
      </c>
      <c r="G23" s="1">
        <f t="shared" si="3"/>
        <v>0.6499999999996362</v>
      </c>
    </row>
    <row r="24" spans="2:7" x14ac:dyDescent="0.2">
      <c r="C24" s="3">
        <v>14.8</v>
      </c>
      <c r="D24" s="3">
        <v>80</v>
      </c>
      <c r="E24" s="3">
        <f t="shared" si="4"/>
        <v>1184</v>
      </c>
      <c r="F24" s="3">
        <f t="shared" si="5"/>
        <v>1161</v>
      </c>
      <c r="G24" s="1">
        <f t="shared" si="3"/>
        <v>0.79999999999995453</v>
      </c>
    </row>
    <row r="25" spans="2:7" x14ac:dyDescent="0.2">
      <c r="B25" s="3">
        <v>4</v>
      </c>
      <c r="C25" s="3">
        <f>90.9+88+88+95.6-1</f>
        <v>361.5</v>
      </c>
      <c r="D25" s="3">
        <v>85</v>
      </c>
      <c r="E25" s="3">
        <f t="shared" si="4"/>
        <v>30727</v>
      </c>
      <c r="F25" s="3">
        <f t="shared" si="5"/>
        <v>30185</v>
      </c>
      <c r="G25" s="1">
        <f t="shared" si="3"/>
        <v>-0.25</v>
      </c>
    </row>
    <row r="26" spans="2:7" x14ac:dyDescent="0.2">
      <c r="C26" s="3">
        <f>26.6+13.7</f>
        <v>40.299999999999997</v>
      </c>
      <c r="D26" s="3">
        <v>80</v>
      </c>
      <c r="E26" s="3">
        <f t="shared" si="4"/>
        <v>3224</v>
      </c>
      <c r="F26" s="3">
        <f t="shared" si="5"/>
        <v>3163</v>
      </c>
      <c r="G26" s="1">
        <f t="shared" si="3"/>
        <v>0.5500000000001819</v>
      </c>
    </row>
    <row r="27" spans="2:7" x14ac:dyDescent="0.2">
      <c r="B27" s="3">
        <v>1.5</v>
      </c>
      <c r="C27" s="3">
        <v>149.80000000000001</v>
      </c>
      <c r="D27" s="3">
        <v>85</v>
      </c>
      <c r="E27" s="3">
        <f t="shared" si="4"/>
        <v>12733</v>
      </c>
      <c r="F27" s="3">
        <f t="shared" si="5"/>
        <v>12508</v>
      </c>
      <c r="G27" s="1">
        <f t="shared" si="3"/>
        <v>0.2999999999992724</v>
      </c>
    </row>
    <row r="28" spans="2:7" x14ac:dyDescent="0.2">
      <c r="B28" s="3">
        <v>0.5</v>
      </c>
      <c r="C28" s="3">
        <v>27.6</v>
      </c>
      <c r="D28" s="3">
        <v>86</v>
      </c>
      <c r="E28" s="3">
        <f t="shared" si="4"/>
        <v>2373</v>
      </c>
      <c r="F28" s="3">
        <f t="shared" si="5"/>
        <v>2332</v>
      </c>
      <c r="G28" s="1">
        <f t="shared" si="3"/>
        <v>-0.40000000000009095</v>
      </c>
    </row>
    <row r="29" spans="2:7" x14ac:dyDescent="0.2">
      <c r="E29" s="3">
        <f t="shared" ref="E29" si="6">INT(C29*D29)</f>
        <v>0</v>
      </c>
      <c r="F29" s="3">
        <f t="shared" ref="F29" si="7">IF(INT(C29*(D29-1.5)&lt;0),0,INT(C29*(D29-1.5)))</f>
        <v>0</v>
      </c>
    </row>
    <row r="30" spans="2:7" x14ac:dyDescent="0.2">
      <c r="B30" s="3">
        <v>3</v>
      </c>
      <c r="C30" s="3">
        <f>92.1+79.7+63.1-0.5</f>
        <v>234.4</v>
      </c>
      <c r="D30" s="3">
        <v>85</v>
      </c>
      <c r="E30" s="3">
        <f t="shared" si="4"/>
        <v>19924</v>
      </c>
      <c r="F30" s="3">
        <f t="shared" si="5"/>
        <v>19572</v>
      </c>
      <c r="G30" s="1">
        <f t="shared" si="3"/>
        <v>0.40000000000145519</v>
      </c>
    </row>
    <row r="31" spans="2:7" x14ac:dyDescent="0.2">
      <c r="B31" s="3">
        <v>1.5</v>
      </c>
      <c r="C31" s="3">
        <v>143.9</v>
      </c>
      <c r="D31" s="3">
        <v>85</v>
      </c>
      <c r="E31" s="3">
        <f t="shared" si="4"/>
        <v>12231</v>
      </c>
      <c r="F31" s="3">
        <f t="shared" si="5"/>
        <v>12015</v>
      </c>
      <c r="G31" s="1">
        <f t="shared" si="3"/>
        <v>0.1499999999996362</v>
      </c>
    </row>
    <row r="32" spans="2:7" x14ac:dyDescent="0.2">
      <c r="C32" s="3">
        <v>14</v>
      </c>
      <c r="D32" s="3">
        <v>80</v>
      </c>
      <c r="E32" s="3">
        <f t="shared" si="4"/>
        <v>1120</v>
      </c>
      <c r="F32" s="3">
        <f t="shared" si="5"/>
        <v>1099</v>
      </c>
      <c r="G32" s="1">
        <f t="shared" si="3"/>
        <v>0</v>
      </c>
    </row>
    <row r="33" spans="1:7" x14ac:dyDescent="0.2">
      <c r="B33" s="3">
        <v>8</v>
      </c>
      <c r="C33" s="3">
        <f>107.7+96.4+97.4+99.8+97.1+95.1+102.5+106.3-2</f>
        <v>800.3</v>
      </c>
      <c r="D33" s="3">
        <v>80</v>
      </c>
      <c r="E33" s="3">
        <f t="shared" si="4"/>
        <v>64024</v>
      </c>
      <c r="F33" s="3">
        <f t="shared" si="5"/>
        <v>62823</v>
      </c>
      <c r="G33" s="1">
        <f t="shared" si="3"/>
        <v>0.55000000000291038</v>
      </c>
    </row>
    <row r="34" spans="1:7" x14ac:dyDescent="0.2">
      <c r="B34" s="3">
        <v>10</v>
      </c>
      <c r="C34" s="3">
        <f>79.1+79.4+100.9+88.7+89.2+100.1+94.5+94.8+88.1+90.3-2</f>
        <v>903.09999999999991</v>
      </c>
      <c r="D34" s="3">
        <v>80</v>
      </c>
      <c r="E34" s="3">
        <f t="shared" si="4"/>
        <v>72248</v>
      </c>
      <c r="F34" s="3">
        <f t="shared" si="5"/>
        <v>70893</v>
      </c>
      <c r="G34" s="1">
        <f t="shared" si="3"/>
        <v>0.35000000000582077</v>
      </c>
    </row>
    <row r="35" spans="1:7" x14ac:dyDescent="0.2">
      <c r="B35" s="3">
        <f>SUM(B3:B34)</f>
        <v>120.5</v>
      </c>
      <c r="C35" s="3">
        <f>SUM(C3:C34)</f>
        <v>10987.599999999997</v>
      </c>
      <c r="D35" s="3">
        <f>SUM(D3:D34)</f>
        <v>2452.5</v>
      </c>
      <c r="E35" s="3">
        <f>SUM(E3:E34)</f>
        <v>923133</v>
      </c>
      <c r="F35" s="3">
        <f>SUM(F3:F34)</f>
        <v>906646</v>
      </c>
      <c r="G35" s="1">
        <f t="shared" si="3"/>
        <v>5.5999999999767169</v>
      </c>
    </row>
    <row r="36" spans="1:7" x14ac:dyDescent="0.2">
      <c r="E36" s="3">
        <f t="shared" si="4"/>
        <v>0</v>
      </c>
      <c r="F36" s="3">
        <f t="shared" si="5"/>
        <v>0</v>
      </c>
      <c r="G36" s="1">
        <f t="shared" si="3"/>
        <v>0</v>
      </c>
    </row>
    <row r="37" spans="1:7" x14ac:dyDescent="0.2">
      <c r="E37" s="3">
        <f t="shared" si="4"/>
        <v>0</v>
      </c>
      <c r="F37" s="3">
        <f t="shared" si="5"/>
        <v>0</v>
      </c>
      <c r="G37" s="1">
        <f t="shared" si="3"/>
        <v>0</v>
      </c>
    </row>
    <row r="38" spans="1:7" x14ac:dyDescent="0.2">
      <c r="E38" s="3">
        <f t="shared" si="4"/>
        <v>0</v>
      </c>
      <c r="F38" s="3">
        <f t="shared" si="5"/>
        <v>0</v>
      </c>
      <c r="G38" s="1">
        <f t="shared" si="3"/>
        <v>0</v>
      </c>
    </row>
    <row r="39" spans="1:7" x14ac:dyDescent="0.2">
      <c r="E39" s="3">
        <f t="shared" si="4"/>
        <v>0</v>
      </c>
      <c r="F39" s="3">
        <f t="shared" si="5"/>
        <v>0</v>
      </c>
      <c r="G39" s="1">
        <f t="shared" si="3"/>
        <v>0</v>
      </c>
    </row>
    <row r="40" spans="1:7" x14ac:dyDescent="0.2">
      <c r="E40" s="3">
        <f t="shared" si="4"/>
        <v>0</v>
      </c>
      <c r="F40" s="3">
        <f t="shared" si="5"/>
        <v>0</v>
      </c>
      <c r="G40" s="1">
        <f t="shared" si="3"/>
        <v>0</v>
      </c>
    </row>
    <row r="41" spans="1:7" x14ac:dyDescent="0.2">
      <c r="A41" s="6" t="s">
        <v>6</v>
      </c>
      <c r="B41" s="3">
        <v>6</v>
      </c>
      <c r="C41" s="3">
        <f>114.8+116.8+100.1-13</f>
        <v>318.7</v>
      </c>
      <c r="D41" s="3">
        <v>82</v>
      </c>
      <c r="E41" s="3">
        <f t="shared" si="4"/>
        <v>26133</v>
      </c>
      <c r="F41" s="3">
        <f t="shared" si="5"/>
        <v>25655</v>
      </c>
      <c r="G41" s="1">
        <f t="shared" si="3"/>
        <v>-4.9999999999272404E-2</v>
      </c>
    </row>
    <row r="42" spans="1:7" x14ac:dyDescent="0.2">
      <c r="B42" s="3">
        <v>4.5</v>
      </c>
      <c r="C42" s="3">
        <f>85.8+88.9+82.4+89.8+46.6-1</f>
        <v>392.50000000000006</v>
      </c>
      <c r="D42" s="3">
        <v>83</v>
      </c>
      <c r="E42" s="3">
        <f t="shared" si="4"/>
        <v>32577</v>
      </c>
      <c r="F42" s="3">
        <f t="shared" si="5"/>
        <v>31988</v>
      </c>
      <c r="G42" s="1">
        <f t="shared" si="3"/>
        <v>0.25</v>
      </c>
    </row>
    <row r="43" spans="1:7" x14ac:dyDescent="0.2">
      <c r="B43" s="3">
        <v>5</v>
      </c>
      <c r="C43" s="3">
        <f>78.4+75.4+82.1+91.2+80.7-5.7</f>
        <v>402.1</v>
      </c>
      <c r="D43" s="3">
        <v>82</v>
      </c>
      <c r="E43" s="3">
        <f t="shared" si="4"/>
        <v>32972</v>
      </c>
      <c r="F43" s="3">
        <f t="shared" si="5"/>
        <v>32369</v>
      </c>
      <c r="G43" s="1">
        <f t="shared" si="3"/>
        <v>-0.15000000000145519</v>
      </c>
    </row>
    <row r="44" spans="1:7" x14ac:dyDescent="0.2">
      <c r="B44" s="3">
        <v>0.5</v>
      </c>
      <c r="C44" s="3">
        <v>35.200000000000003</v>
      </c>
      <c r="D44" s="3">
        <v>83</v>
      </c>
      <c r="E44" s="3">
        <f t="shared" si="4"/>
        <v>2921</v>
      </c>
      <c r="F44" s="3">
        <f t="shared" si="5"/>
        <v>2868</v>
      </c>
      <c r="G44" s="1">
        <f t="shared" si="3"/>
        <v>0.1999999999998181</v>
      </c>
    </row>
    <row r="45" spans="1:7" x14ac:dyDescent="0.2">
      <c r="B45" s="3">
        <v>0.5</v>
      </c>
      <c r="C45" s="3">
        <v>35.9</v>
      </c>
      <c r="D45" s="3">
        <v>83</v>
      </c>
      <c r="E45" s="3">
        <f t="shared" si="4"/>
        <v>2979</v>
      </c>
      <c r="F45" s="3">
        <f t="shared" si="5"/>
        <v>2925</v>
      </c>
      <c r="G45" s="1">
        <f t="shared" si="3"/>
        <v>0.15000000000009095</v>
      </c>
    </row>
    <row r="46" spans="1:7" x14ac:dyDescent="0.2">
      <c r="B46" s="3">
        <v>1</v>
      </c>
      <c r="C46" s="3">
        <v>90.7</v>
      </c>
      <c r="D46" s="3">
        <v>85</v>
      </c>
      <c r="E46" s="3">
        <f t="shared" si="4"/>
        <v>7709</v>
      </c>
      <c r="F46" s="3">
        <f t="shared" si="5"/>
        <v>7573</v>
      </c>
      <c r="G46" s="1">
        <f t="shared" si="3"/>
        <v>-5.0000000000181899E-2</v>
      </c>
    </row>
    <row r="47" spans="1:7" x14ac:dyDescent="0.2">
      <c r="B47" s="3">
        <v>0.5</v>
      </c>
      <c r="C47" s="3">
        <v>34.299999999999997</v>
      </c>
      <c r="D47" s="3">
        <v>82</v>
      </c>
      <c r="E47" s="3">
        <f t="shared" si="4"/>
        <v>2812</v>
      </c>
      <c r="F47" s="3">
        <f t="shared" si="5"/>
        <v>2761</v>
      </c>
      <c r="G47" s="1">
        <f t="shared" si="3"/>
        <v>-0.4499999999998181</v>
      </c>
    </row>
    <row r="48" spans="1:7" x14ac:dyDescent="0.2">
      <c r="B48" s="3">
        <v>5</v>
      </c>
      <c r="C48" s="3">
        <f>95.7+100.7+95.3+92.4+92.7-1</f>
        <v>475.8</v>
      </c>
      <c r="D48" s="3">
        <v>83.5</v>
      </c>
      <c r="E48" s="3">
        <f t="shared" si="4"/>
        <v>39729</v>
      </c>
      <c r="F48" s="3">
        <f t="shared" si="5"/>
        <v>39015</v>
      </c>
      <c r="G48" s="1">
        <f t="shared" si="3"/>
        <v>0.30000000000291038</v>
      </c>
    </row>
    <row r="49" spans="2:7" x14ac:dyDescent="0.2">
      <c r="C49" s="3">
        <v>12.2</v>
      </c>
      <c r="D49" s="3">
        <v>80</v>
      </c>
      <c r="E49" s="3">
        <f t="shared" si="4"/>
        <v>976</v>
      </c>
      <c r="F49" s="3">
        <f t="shared" si="5"/>
        <v>957</v>
      </c>
      <c r="G49" s="1">
        <f t="shared" si="3"/>
        <v>0.70000000000004547</v>
      </c>
    </row>
    <row r="50" spans="2:7" x14ac:dyDescent="0.2">
      <c r="B50" s="3">
        <v>8.5</v>
      </c>
      <c r="C50" s="3">
        <f>91+103.3+101.9+93.4+95.8+101.6+99.2+143.5-2</f>
        <v>827.7</v>
      </c>
      <c r="D50" s="3">
        <v>82</v>
      </c>
      <c r="E50" s="3">
        <f t="shared" si="4"/>
        <v>67871</v>
      </c>
      <c r="F50" s="3">
        <f t="shared" si="5"/>
        <v>66629</v>
      </c>
      <c r="G50" s="1">
        <f t="shared" si="3"/>
        <v>0.44999999999708962</v>
      </c>
    </row>
    <row r="51" spans="2:7" x14ac:dyDescent="0.2">
      <c r="E51" s="3">
        <f t="shared" si="4"/>
        <v>0</v>
      </c>
      <c r="F51" s="3">
        <f t="shared" si="5"/>
        <v>0</v>
      </c>
      <c r="G51" s="1">
        <f t="shared" si="3"/>
        <v>0</v>
      </c>
    </row>
    <row r="52" spans="2:7" x14ac:dyDescent="0.2">
      <c r="B52" s="3">
        <v>3</v>
      </c>
      <c r="C52" s="3">
        <f>93.2+95.1+93.1-1</f>
        <v>280.39999999999998</v>
      </c>
      <c r="D52" s="3">
        <v>80</v>
      </c>
      <c r="E52" s="3">
        <f t="shared" si="4"/>
        <v>22432</v>
      </c>
      <c r="F52" s="3">
        <f t="shared" si="5"/>
        <v>22011</v>
      </c>
      <c r="G52" s="1">
        <f t="shared" si="3"/>
        <v>0.40000000000145519</v>
      </c>
    </row>
    <row r="53" spans="2:7" x14ac:dyDescent="0.2">
      <c r="B53" s="3">
        <v>1.5</v>
      </c>
      <c r="C53" s="3">
        <v>114.3</v>
      </c>
      <c r="D53" s="3">
        <v>75</v>
      </c>
      <c r="E53" s="3">
        <f t="shared" ref="E53:E116" si="8">INT(C53*D53)</f>
        <v>8572</v>
      </c>
      <c r="F53" s="3">
        <f t="shared" ref="F53:F116" si="9">IF(INT(C53*(D53-1.5)&lt;0),0,INT(C53*(D53-1.5)))</f>
        <v>8401</v>
      </c>
      <c r="G53" s="1">
        <f t="shared" ref="G53:G116" si="10">E53-(C53*1.5)-F53</f>
        <v>-0.4500000000007276</v>
      </c>
    </row>
    <row r="54" spans="2:7" x14ac:dyDescent="0.2">
      <c r="B54" s="3">
        <v>2</v>
      </c>
      <c r="C54" s="3">
        <v>124.1</v>
      </c>
      <c r="D54" s="3">
        <v>75</v>
      </c>
      <c r="E54" s="3">
        <f t="shared" si="8"/>
        <v>9307</v>
      </c>
      <c r="F54" s="3">
        <f t="shared" si="9"/>
        <v>9121</v>
      </c>
      <c r="G54" s="1">
        <f t="shared" si="10"/>
        <v>-0.1499999999996362</v>
      </c>
    </row>
    <row r="55" spans="2:7" x14ac:dyDescent="0.2">
      <c r="B55" s="3">
        <f>SUM(B41:B54)</f>
        <v>38</v>
      </c>
      <c r="C55" s="3">
        <f>SUM(C41:C54)</f>
        <v>3143.9000000000005</v>
      </c>
      <c r="D55" s="3">
        <f>SUM(D41:D54)</f>
        <v>1055.5</v>
      </c>
      <c r="E55" s="3">
        <f>SUM(E41:E54)</f>
        <v>256990</v>
      </c>
      <c r="F55" s="3">
        <f>SUM(F41:F54)</f>
        <v>252273</v>
      </c>
      <c r="G55" s="1">
        <f t="shared" si="10"/>
        <v>1.1499999999941792</v>
      </c>
    </row>
    <row r="56" spans="2:7" x14ac:dyDescent="0.2">
      <c r="E56" s="3">
        <f t="shared" si="8"/>
        <v>0</v>
      </c>
      <c r="F56" s="3">
        <f t="shared" si="9"/>
        <v>0</v>
      </c>
      <c r="G56" s="1">
        <f t="shared" si="10"/>
        <v>0</v>
      </c>
    </row>
    <row r="57" spans="2:7" x14ac:dyDescent="0.2">
      <c r="E57" s="3">
        <f t="shared" si="8"/>
        <v>0</v>
      </c>
      <c r="F57" s="3">
        <f t="shared" si="9"/>
        <v>0</v>
      </c>
      <c r="G57" s="1">
        <f t="shared" si="10"/>
        <v>0</v>
      </c>
    </row>
    <row r="58" spans="2:7" x14ac:dyDescent="0.2">
      <c r="E58" s="3">
        <f t="shared" si="8"/>
        <v>0</v>
      </c>
      <c r="F58" s="3">
        <f t="shared" si="9"/>
        <v>0</v>
      </c>
      <c r="G58" s="1">
        <f t="shared" si="10"/>
        <v>0</v>
      </c>
    </row>
    <row r="59" spans="2:7" x14ac:dyDescent="0.2">
      <c r="E59" s="3">
        <f t="shared" si="8"/>
        <v>0</v>
      </c>
      <c r="F59" s="3">
        <f t="shared" si="9"/>
        <v>0</v>
      </c>
      <c r="G59" s="1">
        <f t="shared" si="10"/>
        <v>0</v>
      </c>
    </row>
    <row r="60" spans="2:7" x14ac:dyDescent="0.2">
      <c r="E60" s="3">
        <f t="shared" si="8"/>
        <v>0</v>
      </c>
      <c r="F60" s="3">
        <f t="shared" si="9"/>
        <v>0</v>
      </c>
      <c r="G60" s="1">
        <f t="shared" si="10"/>
        <v>0</v>
      </c>
    </row>
    <row r="61" spans="2:7" x14ac:dyDescent="0.2">
      <c r="E61" s="3">
        <f t="shared" si="8"/>
        <v>0</v>
      </c>
      <c r="F61" s="3">
        <f t="shared" si="9"/>
        <v>0</v>
      </c>
      <c r="G61" s="1">
        <f t="shared" si="10"/>
        <v>0</v>
      </c>
    </row>
    <row r="62" spans="2:7" x14ac:dyDescent="0.2">
      <c r="E62" s="3">
        <f t="shared" si="8"/>
        <v>0</v>
      </c>
      <c r="F62" s="3">
        <f t="shared" si="9"/>
        <v>0</v>
      </c>
      <c r="G62" s="1">
        <f t="shared" si="10"/>
        <v>0</v>
      </c>
    </row>
    <row r="63" spans="2:7" x14ac:dyDescent="0.2">
      <c r="E63" s="3">
        <f t="shared" si="8"/>
        <v>0</v>
      </c>
      <c r="F63" s="3">
        <f t="shared" si="9"/>
        <v>0</v>
      </c>
      <c r="G63" s="1">
        <f t="shared" si="10"/>
        <v>0</v>
      </c>
    </row>
    <row r="64" spans="2:7" x14ac:dyDescent="0.2">
      <c r="E64" s="3">
        <f t="shared" si="8"/>
        <v>0</v>
      </c>
      <c r="F64" s="3">
        <f t="shared" si="9"/>
        <v>0</v>
      </c>
      <c r="G64" s="1">
        <f t="shared" si="10"/>
        <v>0</v>
      </c>
    </row>
    <row r="65" spans="5:7" x14ac:dyDescent="0.2">
      <c r="E65" s="3">
        <f t="shared" si="8"/>
        <v>0</v>
      </c>
      <c r="F65" s="3">
        <f t="shared" si="9"/>
        <v>0</v>
      </c>
      <c r="G65" s="1">
        <f t="shared" si="10"/>
        <v>0</v>
      </c>
    </row>
    <row r="66" spans="5:7" x14ac:dyDescent="0.2">
      <c r="E66" s="3">
        <f t="shared" si="8"/>
        <v>0</v>
      </c>
      <c r="F66" s="3">
        <f t="shared" si="9"/>
        <v>0</v>
      </c>
      <c r="G66" s="1">
        <f t="shared" si="10"/>
        <v>0</v>
      </c>
    </row>
    <row r="67" spans="5:7" x14ac:dyDescent="0.2">
      <c r="E67" s="3">
        <f t="shared" si="8"/>
        <v>0</v>
      </c>
      <c r="F67" s="3">
        <f t="shared" si="9"/>
        <v>0</v>
      </c>
      <c r="G67" s="1">
        <f t="shared" si="10"/>
        <v>0</v>
      </c>
    </row>
    <row r="68" spans="5:7" x14ac:dyDescent="0.2">
      <c r="E68" s="3">
        <f t="shared" si="8"/>
        <v>0</v>
      </c>
      <c r="F68" s="3">
        <f t="shared" si="9"/>
        <v>0</v>
      </c>
      <c r="G68" s="1">
        <f t="shared" si="10"/>
        <v>0</v>
      </c>
    </row>
    <row r="69" spans="5:7" x14ac:dyDescent="0.2">
      <c r="E69" s="3">
        <f t="shared" si="8"/>
        <v>0</v>
      </c>
      <c r="F69" s="3">
        <f t="shared" si="9"/>
        <v>0</v>
      </c>
      <c r="G69" s="1">
        <f t="shared" si="10"/>
        <v>0</v>
      </c>
    </row>
    <row r="70" spans="5:7" x14ac:dyDescent="0.2">
      <c r="E70" s="3">
        <f t="shared" si="8"/>
        <v>0</v>
      </c>
      <c r="F70" s="3">
        <f t="shared" si="9"/>
        <v>0</v>
      </c>
      <c r="G70" s="1">
        <f t="shared" si="10"/>
        <v>0</v>
      </c>
    </row>
    <row r="71" spans="5:7" x14ac:dyDescent="0.2">
      <c r="E71" s="3">
        <f t="shared" si="8"/>
        <v>0</v>
      </c>
      <c r="F71" s="3">
        <f t="shared" si="9"/>
        <v>0</v>
      </c>
      <c r="G71" s="1">
        <f t="shared" si="10"/>
        <v>0</v>
      </c>
    </row>
    <row r="72" spans="5:7" x14ac:dyDescent="0.2">
      <c r="E72" s="3">
        <f t="shared" si="8"/>
        <v>0</v>
      </c>
      <c r="F72" s="3">
        <f t="shared" si="9"/>
        <v>0</v>
      </c>
      <c r="G72" s="1">
        <f t="shared" si="10"/>
        <v>0</v>
      </c>
    </row>
    <row r="73" spans="5:7" x14ac:dyDescent="0.2">
      <c r="E73" s="3">
        <f t="shared" si="8"/>
        <v>0</v>
      </c>
      <c r="F73" s="3">
        <f t="shared" si="9"/>
        <v>0</v>
      </c>
      <c r="G73" s="1">
        <f t="shared" si="10"/>
        <v>0</v>
      </c>
    </row>
    <row r="74" spans="5:7" x14ac:dyDescent="0.2">
      <c r="E74" s="3">
        <f t="shared" si="8"/>
        <v>0</v>
      </c>
      <c r="F74" s="3">
        <f t="shared" si="9"/>
        <v>0</v>
      </c>
      <c r="G74" s="1">
        <f t="shared" si="10"/>
        <v>0</v>
      </c>
    </row>
    <row r="75" spans="5:7" x14ac:dyDescent="0.2">
      <c r="E75" s="3">
        <f t="shared" si="8"/>
        <v>0</v>
      </c>
      <c r="F75" s="3">
        <f t="shared" si="9"/>
        <v>0</v>
      </c>
      <c r="G75" s="1">
        <f t="shared" si="10"/>
        <v>0</v>
      </c>
    </row>
    <row r="76" spans="5:7" x14ac:dyDescent="0.2">
      <c r="E76" s="3">
        <f t="shared" si="8"/>
        <v>0</v>
      </c>
      <c r="F76" s="3">
        <f t="shared" si="9"/>
        <v>0</v>
      </c>
      <c r="G76" s="1">
        <f t="shared" si="10"/>
        <v>0</v>
      </c>
    </row>
    <row r="77" spans="5:7" x14ac:dyDescent="0.2">
      <c r="E77" s="3">
        <f t="shared" si="8"/>
        <v>0</v>
      </c>
      <c r="F77" s="3">
        <f t="shared" si="9"/>
        <v>0</v>
      </c>
      <c r="G77" s="1">
        <f t="shared" si="10"/>
        <v>0</v>
      </c>
    </row>
    <row r="78" spans="5:7" x14ac:dyDescent="0.2">
      <c r="E78" s="3">
        <f t="shared" si="8"/>
        <v>0</v>
      </c>
      <c r="F78" s="3">
        <f t="shared" si="9"/>
        <v>0</v>
      </c>
      <c r="G78" s="1">
        <f t="shared" si="10"/>
        <v>0</v>
      </c>
    </row>
    <row r="79" spans="5:7" x14ac:dyDescent="0.2">
      <c r="E79" s="3">
        <f t="shared" si="8"/>
        <v>0</v>
      </c>
      <c r="F79" s="3">
        <f t="shared" si="9"/>
        <v>0</v>
      </c>
      <c r="G79" s="1">
        <f t="shared" si="10"/>
        <v>0</v>
      </c>
    </row>
    <row r="80" spans="5:7" x14ac:dyDescent="0.2">
      <c r="E80" s="3">
        <f t="shared" si="8"/>
        <v>0</v>
      </c>
      <c r="F80" s="3">
        <f t="shared" si="9"/>
        <v>0</v>
      </c>
      <c r="G80" s="1">
        <f t="shared" si="10"/>
        <v>0</v>
      </c>
    </row>
    <row r="81" spans="5:7" x14ac:dyDescent="0.2">
      <c r="E81" s="3">
        <f t="shared" si="8"/>
        <v>0</v>
      </c>
      <c r="F81" s="3">
        <f t="shared" si="9"/>
        <v>0</v>
      </c>
      <c r="G81" s="1">
        <f t="shared" si="10"/>
        <v>0</v>
      </c>
    </row>
    <row r="82" spans="5:7" x14ac:dyDescent="0.2">
      <c r="E82" s="3">
        <f t="shared" si="8"/>
        <v>0</v>
      </c>
      <c r="F82" s="3">
        <f t="shared" si="9"/>
        <v>0</v>
      </c>
      <c r="G82" s="1">
        <f t="shared" si="10"/>
        <v>0</v>
      </c>
    </row>
    <row r="83" spans="5:7" x14ac:dyDescent="0.2">
      <c r="E83" s="3">
        <f t="shared" si="8"/>
        <v>0</v>
      </c>
      <c r="F83" s="3">
        <f t="shared" si="9"/>
        <v>0</v>
      </c>
      <c r="G83" s="1">
        <f t="shared" si="10"/>
        <v>0</v>
      </c>
    </row>
    <row r="84" spans="5:7" x14ac:dyDescent="0.2">
      <c r="E84" s="3">
        <f t="shared" si="8"/>
        <v>0</v>
      </c>
      <c r="F84" s="3">
        <f t="shared" si="9"/>
        <v>0</v>
      </c>
      <c r="G84" s="1">
        <f t="shared" si="10"/>
        <v>0</v>
      </c>
    </row>
    <row r="85" spans="5:7" x14ac:dyDescent="0.2">
      <c r="E85" s="3">
        <f t="shared" si="8"/>
        <v>0</v>
      </c>
      <c r="F85" s="3">
        <f t="shared" si="9"/>
        <v>0</v>
      </c>
      <c r="G85" s="1">
        <f t="shared" si="10"/>
        <v>0</v>
      </c>
    </row>
    <row r="86" spans="5:7" x14ac:dyDescent="0.2">
      <c r="E86" s="3">
        <f t="shared" si="8"/>
        <v>0</v>
      </c>
      <c r="F86" s="3">
        <f t="shared" si="9"/>
        <v>0</v>
      </c>
      <c r="G86" s="1">
        <f t="shared" si="10"/>
        <v>0</v>
      </c>
    </row>
    <row r="87" spans="5:7" x14ac:dyDescent="0.2">
      <c r="E87" s="3">
        <f t="shared" si="8"/>
        <v>0</v>
      </c>
      <c r="F87" s="3">
        <f t="shared" si="9"/>
        <v>0</v>
      </c>
      <c r="G87" s="1">
        <f t="shared" si="10"/>
        <v>0</v>
      </c>
    </row>
    <row r="88" spans="5:7" x14ac:dyDescent="0.2">
      <c r="E88" s="3">
        <f t="shared" si="8"/>
        <v>0</v>
      </c>
      <c r="F88" s="3">
        <f t="shared" si="9"/>
        <v>0</v>
      </c>
      <c r="G88" s="1">
        <f t="shared" si="10"/>
        <v>0</v>
      </c>
    </row>
    <row r="89" spans="5:7" x14ac:dyDescent="0.2">
      <c r="E89" s="3">
        <f t="shared" si="8"/>
        <v>0</v>
      </c>
      <c r="F89" s="3">
        <f t="shared" si="9"/>
        <v>0</v>
      </c>
      <c r="G89" s="1">
        <f t="shared" si="10"/>
        <v>0</v>
      </c>
    </row>
    <row r="90" spans="5:7" x14ac:dyDescent="0.2">
      <c r="E90" s="3">
        <f t="shared" si="8"/>
        <v>0</v>
      </c>
      <c r="F90" s="3">
        <f t="shared" si="9"/>
        <v>0</v>
      </c>
      <c r="G90" s="1">
        <f t="shared" si="10"/>
        <v>0</v>
      </c>
    </row>
    <row r="91" spans="5:7" x14ac:dyDescent="0.2">
      <c r="E91" s="3">
        <f t="shared" si="8"/>
        <v>0</v>
      </c>
      <c r="F91" s="3">
        <f t="shared" si="9"/>
        <v>0</v>
      </c>
      <c r="G91" s="1">
        <f t="shared" si="10"/>
        <v>0</v>
      </c>
    </row>
    <row r="92" spans="5:7" x14ac:dyDescent="0.2">
      <c r="E92" s="3">
        <f t="shared" si="8"/>
        <v>0</v>
      </c>
      <c r="F92" s="3">
        <f t="shared" si="9"/>
        <v>0</v>
      </c>
      <c r="G92" s="1">
        <f t="shared" si="10"/>
        <v>0</v>
      </c>
    </row>
    <row r="93" spans="5:7" x14ac:dyDescent="0.2">
      <c r="E93" s="3">
        <f t="shared" si="8"/>
        <v>0</v>
      </c>
      <c r="F93" s="3">
        <f t="shared" si="9"/>
        <v>0</v>
      </c>
      <c r="G93" s="1">
        <f t="shared" si="10"/>
        <v>0</v>
      </c>
    </row>
    <row r="94" spans="5:7" x14ac:dyDescent="0.2">
      <c r="E94" s="3">
        <f t="shared" si="8"/>
        <v>0</v>
      </c>
      <c r="F94" s="3">
        <f t="shared" si="9"/>
        <v>0</v>
      </c>
      <c r="G94" s="1">
        <f t="shared" si="10"/>
        <v>0</v>
      </c>
    </row>
    <row r="95" spans="5:7" x14ac:dyDescent="0.2">
      <c r="E95" s="3">
        <f t="shared" si="8"/>
        <v>0</v>
      </c>
      <c r="F95" s="3">
        <f t="shared" si="9"/>
        <v>0</v>
      </c>
      <c r="G95" s="1">
        <f t="shared" si="10"/>
        <v>0</v>
      </c>
    </row>
    <row r="96" spans="5:7" x14ac:dyDescent="0.2">
      <c r="E96" s="3">
        <f t="shared" si="8"/>
        <v>0</v>
      </c>
      <c r="F96" s="3">
        <f t="shared" si="9"/>
        <v>0</v>
      </c>
      <c r="G96" s="1">
        <f t="shared" si="10"/>
        <v>0</v>
      </c>
    </row>
    <row r="97" spans="5:7" x14ac:dyDescent="0.2">
      <c r="E97" s="3">
        <f t="shared" si="8"/>
        <v>0</v>
      </c>
      <c r="F97" s="3">
        <f t="shared" si="9"/>
        <v>0</v>
      </c>
      <c r="G97" s="1">
        <f t="shared" si="10"/>
        <v>0</v>
      </c>
    </row>
    <row r="98" spans="5:7" x14ac:dyDescent="0.2">
      <c r="E98" s="3">
        <f t="shared" si="8"/>
        <v>0</v>
      </c>
      <c r="F98" s="3">
        <f t="shared" si="9"/>
        <v>0</v>
      </c>
      <c r="G98" s="1">
        <f t="shared" si="10"/>
        <v>0</v>
      </c>
    </row>
    <row r="99" spans="5:7" x14ac:dyDescent="0.2">
      <c r="E99" s="3">
        <f t="shared" si="8"/>
        <v>0</v>
      </c>
      <c r="F99" s="3">
        <f t="shared" si="9"/>
        <v>0</v>
      </c>
      <c r="G99" s="1">
        <f t="shared" si="10"/>
        <v>0</v>
      </c>
    </row>
    <row r="100" spans="5:7" x14ac:dyDescent="0.2">
      <c r="E100" s="3">
        <f t="shared" si="8"/>
        <v>0</v>
      </c>
      <c r="F100" s="3">
        <f t="shared" si="9"/>
        <v>0</v>
      </c>
      <c r="G100" s="1">
        <f t="shared" si="10"/>
        <v>0</v>
      </c>
    </row>
    <row r="101" spans="5:7" x14ac:dyDescent="0.2">
      <c r="E101" s="3">
        <f t="shared" si="8"/>
        <v>0</v>
      </c>
      <c r="F101" s="3">
        <f t="shared" si="9"/>
        <v>0</v>
      </c>
      <c r="G101" s="1">
        <f t="shared" si="10"/>
        <v>0</v>
      </c>
    </row>
    <row r="102" spans="5:7" x14ac:dyDescent="0.2">
      <c r="E102" s="3">
        <f t="shared" si="8"/>
        <v>0</v>
      </c>
      <c r="F102" s="3">
        <f t="shared" si="9"/>
        <v>0</v>
      </c>
      <c r="G102" s="1">
        <f t="shared" si="10"/>
        <v>0</v>
      </c>
    </row>
    <row r="103" spans="5:7" x14ac:dyDescent="0.2">
      <c r="E103" s="3">
        <f t="shared" si="8"/>
        <v>0</v>
      </c>
      <c r="F103" s="3">
        <f t="shared" si="9"/>
        <v>0</v>
      </c>
      <c r="G103" s="1">
        <f t="shared" si="10"/>
        <v>0</v>
      </c>
    </row>
    <row r="104" spans="5:7" x14ac:dyDescent="0.2">
      <c r="E104" s="3">
        <f t="shared" si="8"/>
        <v>0</v>
      </c>
      <c r="F104" s="3">
        <f t="shared" si="9"/>
        <v>0</v>
      </c>
      <c r="G104" s="1">
        <f t="shared" si="10"/>
        <v>0</v>
      </c>
    </row>
    <row r="105" spans="5:7" x14ac:dyDescent="0.2">
      <c r="E105" s="3">
        <f t="shared" si="8"/>
        <v>0</v>
      </c>
      <c r="F105" s="3">
        <f t="shared" si="9"/>
        <v>0</v>
      </c>
      <c r="G105" s="1">
        <f t="shared" si="10"/>
        <v>0</v>
      </c>
    </row>
    <row r="106" spans="5:7" x14ac:dyDescent="0.2">
      <c r="E106" s="3">
        <f t="shared" si="8"/>
        <v>0</v>
      </c>
      <c r="F106" s="3">
        <f t="shared" si="9"/>
        <v>0</v>
      </c>
      <c r="G106" s="1">
        <f t="shared" si="10"/>
        <v>0</v>
      </c>
    </row>
    <row r="107" spans="5:7" x14ac:dyDescent="0.2">
      <c r="E107" s="3">
        <f t="shared" si="8"/>
        <v>0</v>
      </c>
      <c r="F107" s="3">
        <f t="shared" si="9"/>
        <v>0</v>
      </c>
      <c r="G107" s="1">
        <f t="shared" si="10"/>
        <v>0</v>
      </c>
    </row>
    <row r="108" spans="5:7" x14ac:dyDescent="0.2">
      <c r="E108" s="3">
        <f t="shared" si="8"/>
        <v>0</v>
      </c>
      <c r="F108" s="3">
        <f t="shared" si="9"/>
        <v>0</v>
      </c>
      <c r="G108" s="1">
        <f t="shared" si="10"/>
        <v>0</v>
      </c>
    </row>
    <row r="109" spans="5:7" x14ac:dyDescent="0.2">
      <c r="E109" s="3">
        <f t="shared" si="8"/>
        <v>0</v>
      </c>
      <c r="F109" s="3">
        <f t="shared" si="9"/>
        <v>0</v>
      </c>
      <c r="G109" s="1">
        <f t="shared" si="10"/>
        <v>0</v>
      </c>
    </row>
    <row r="110" spans="5:7" x14ac:dyDescent="0.2">
      <c r="E110" s="3">
        <f t="shared" si="8"/>
        <v>0</v>
      </c>
      <c r="F110" s="3">
        <f t="shared" si="9"/>
        <v>0</v>
      </c>
      <c r="G110" s="1">
        <f t="shared" si="10"/>
        <v>0</v>
      </c>
    </row>
    <row r="111" spans="5:7" x14ac:dyDescent="0.2">
      <c r="E111" s="3">
        <f t="shared" si="8"/>
        <v>0</v>
      </c>
      <c r="F111" s="3">
        <f t="shared" si="9"/>
        <v>0</v>
      </c>
      <c r="G111" s="1">
        <f t="shared" si="10"/>
        <v>0</v>
      </c>
    </row>
    <row r="112" spans="5:7" x14ac:dyDescent="0.2">
      <c r="E112" s="3">
        <f t="shared" si="8"/>
        <v>0</v>
      </c>
      <c r="F112" s="3">
        <f t="shared" si="9"/>
        <v>0</v>
      </c>
      <c r="G112" s="1">
        <f t="shared" si="10"/>
        <v>0</v>
      </c>
    </row>
    <row r="113" spans="5:7" x14ac:dyDescent="0.2">
      <c r="E113" s="3">
        <f t="shared" si="8"/>
        <v>0</v>
      </c>
      <c r="F113" s="3">
        <f t="shared" si="9"/>
        <v>0</v>
      </c>
      <c r="G113" s="1">
        <f t="shared" si="10"/>
        <v>0</v>
      </c>
    </row>
    <row r="114" spans="5:7" x14ac:dyDescent="0.2">
      <c r="E114" s="3">
        <f t="shared" si="8"/>
        <v>0</v>
      </c>
      <c r="F114" s="3">
        <f t="shared" si="9"/>
        <v>0</v>
      </c>
      <c r="G114" s="1">
        <f t="shared" si="10"/>
        <v>0</v>
      </c>
    </row>
    <row r="115" spans="5:7" x14ac:dyDescent="0.2">
      <c r="E115" s="3">
        <f t="shared" si="8"/>
        <v>0</v>
      </c>
      <c r="F115" s="3">
        <f t="shared" si="9"/>
        <v>0</v>
      </c>
      <c r="G115" s="1">
        <f t="shared" si="10"/>
        <v>0</v>
      </c>
    </row>
    <row r="116" spans="5:7" x14ac:dyDescent="0.2">
      <c r="E116" s="3">
        <f t="shared" si="8"/>
        <v>0</v>
      </c>
      <c r="F116" s="3">
        <f t="shared" si="9"/>
        <v>0</v>
      </c>
      <c r="G116" s="1">
        <f t="shared" si="10"/>
        <v>0</v>
      </c>
    </row>
    <row r="117" spans="5:7" x14ac:dyDescent="0.2">
      <c r="E117" s="3">
        <f t="shared" ref="E117:E180" si="11">INT(C117*D117)</f>
        <v>0</v>
      </c>
      <c r="F117" s="3">
        <f t="shared" ref="F117:F180" si="12">IF(INT(C117*(D117-1.5)&lt;0),0,INT(C117*(D117-1.5)))</f>
        <v>0</v>
      </c>
      <c r="G117" s="1">
        <f t="shared" ref="G117:G180" si="13">E117-(C117*1.5)-F117</f>
        <v>0</v>
      </c>
    </row>
    <row r="118" spans="5:7" x14ac:dyDescent="0.2">
      <c r="E118" s="3">
        <f t="shared" si="11"/>
        <v>0</v>
      </c>
      <c r="F118" s="3">
        <f t="shared" si="12"/>
        <v>0</v>
      </c>
      <c r="G118" s="1">
        <f t="shared" si="13"/>
        <v>0</v>
      </c>
    </row>
    <row r="119" spans="5:7" x14ac:dyDescent="0.2">
      <c r="E119" s="3">
        <f t="shared" si="11"/>
        <v>0</v>
      </c>
      <c r="F119" s="3">
        <f t="shared" si="12"/>
        <v>0</v>
      </c>
      <c r="G119" s="1">
        <f t="shared" si="13"/>
        <v>0</v>
      </c>
    </row>
    <row r="120" spans="5:7" x14ac:dyDescent="0.2">
      <c r="E120" s="3">
        <f t="shared" si="11"/>
        <v>0</v>
      </c>
      <c r="F120" s="3">
        <f t="shared" si="12"/>
        <v>0</v>
      </c>
      <c r="G120" s="1">
        <f t="shared" si="13"/>
        <v>0</v>
      </c>
    </row>
    <row r="121" spans="5:7" x14ac:dyDescent="0.2">
      <c r="E121" s="3">
        <f t="shared" si="11"/>
        <v>0</v>
      </c>
      <c r="F121" s="3">
        <f t="shared" si="12"/>
        <v>0</v>
      </c>
      <c r="G121" s="1">
        <f t="shared" si="13"/>
        <v>0</v>
      </c>
    </row>
    <row r="122" spans="5:7" x14ac:dyDescent="0.2">
      <c r="E122" s="3">
        <f t="shared" si="11"/>
        <v>0</v>
      </c>
      <c r="F122" s="3">
        <f t="shared" si="12"/>
        <v>0</v>
      </c>
      <c r="G122" s="1">
        <f t="shared" si="13"/>
        <v>0</v>
      </c>
    </row>
    <row r="123" spans="5:7" x14ac:dyDescent="0.2">
      <c r="E123" s="3">
        <f t="shared" si="11"/>
        <v>0</v>
      </c>
      <c r="F123" s="3">
        <f t="shared" si="12"/>
        <v>0</v>
      </c>
      <c r="G123" s="1">
        <f t="shared" si="13"/>
        <v>0</v>
      </c>
    </row>
    <row r="124" spans="5:7" x14ac:dyDescent="0.2">
      <c r="E124" s="3">
        <f t="shared" si="11"/>
        <v>0</v>
      </c>
      <c r="F124" s="3">
        <f t="shared" si="12"/>
        <v>0</v>
      </c>
      <c r="G124" s="1">
        <f t="shared" si="13"/>
        <v>0</v>
      </c>
    </row>
    <row r="125" spans="5:7" x14ac:dyDescent="0.2">
      <c r="E125" s="3">
        <f t="shared" si="11"/>
        <v>0</v>
      </c>
      <c r="F125" s="3">
        <f t="shared" si="12"/>
        <v>0</v>
      </c>
      <c r="G125" s="1">
        <f t="shared" si="13"/>
        <v>0</v>
      </c>
    </row>
    <row r="126" spans="5:7" x14ac:dyDescent="0.2">
      <c r="E126" s="3">
        <f t="shared" si="11"/>
        <v>0</v>
      </c>
      <c r="F126" s="3">
        <f t="shared" si="12"/>
        <v>0</v>
      </c>
      <c r="G126" s="1">
        <f t="shared" si="13"/>
        <v>0</v>
      </c>
    </row>
    <row r="127" spans="5:7" x14ac:dyDescent="0.2">
      <c r="E127" s="3">
        <f t="shared" si="11"/>
        <v>0</v>
      </c>
      <c r="F127" s="3">
        <f t="shared" si="12"/>
        <v>0</v>
      </c>
      <c r="G127" s="1">
        <f t="shared" si="13"/>
        <v>0</v>
      </c>
    </row>
    <row r="128" spans="5:7" x14ac:dyDescent="0.2">
      <c r="E128" s="3">
        <f t="shared" si="11"/>
        <v>0</v>
      </c>
      <c r="F128" s="3">
        <f t="shared" si="12"/>
        <v>0</v>
      </c>
      <c r="G128" s="1">
        <f t="shared" si="13"/>
        <v>0</v>
      </c>
    </row>
    <row r="129" spans="5:7" x14ac:dyDescent="0.2">
      <c r="E129" s="3">
        <f t="shared" si="11"/>
        <v>0</v>
      </c>
      <c r="F129" s="3">
        <f t="shared" si="12"/>
        <v>0</v>
      </c>
      <c r="G129" s="1">
        <f t="shared" si="13"/>
        <v>0</v>
      </c>
    </row>
    <row r="130" spans="5:7" x14ac:dyDescent="0.2">
      <c r="E130" s="3">
        <f t="shared" si="11"/>
        <v>0</v>
      </c>
      <c r="F130" s="3">
        <f t="shared" si="12"/>
        <v>0</v>
      </c>
      <c r="G130" s="1">
        <f t="shared" si="13"/>
        <v>0</v>
      </c>
    </row>
    <row r="131" spans="5:7" x14ac:dyDescent="0.2">
      <c r="E131" s="3">
        <f t="shared" si="11"/>
        <v>0</v>
      </c>
      <c r="F131" s="3">
        <f t="shared" si="12"/>
        <v>0</v>
      </c>
      <c r="G131" s="1">
        <f t="shared" si="13"/>
        <v>0</v>
      </c>
    </row>
    <row r="132" spans="5:7" x14ac:dyDescent="0.2">
      <c r="E132" s="3">
        <f t="shared" si="11"/>
        <v>0</v>
      </c>
      <c r="F132" s="3">
        <f t="shared" si="12"/>
        <v>0</v>
      </c>
      <c r="G132" s="1">
        <f t="shared" si="13"/>
        <v>0</v>
      </c>
    </row>
    <row r="133" spans="5:7" x14ac:dyDescent="0.2">
      <c r="E133" s="3">
        <f t="shared" si="11"/>
        <v>0</v>
      </c>
      <c r="F133" s="3">
        <f t="shared" si="12"/>
        <v>0</v>
      </c>
      <c r="G133" s="1">
        <f t="shared" si="13"/>
        <v>0</v>
      </c>
    </row>
    <row r="134" spans="5:7" x14ac:dyDescent="0.2">
      <c r="E134" s="3">
        <f t="shared" si="11"/>
        <v>0</v>
      </c>
      <c r="F134" s="3">
        <f t="shared" si="12"/>
        <v>0</v>
      </c>
      <c r="G134" s="1">
        <f t="shared" si="13"/>
        <v>0</v>
      </c>
    </row>
    <row r="135" spans="5:7" x14ac:dyDescent="0.2">
      <c r="E135" s="3">
        <f t="shared" si="11"/>
        <v>0</v>
      </c>
      <c r="F135" s="3">
        <f t="shared" si="12"/>
        <v>0</v>
      </c>
      <c r="G135" s="1">
        <f t="shared" si="13"/>
        <v>0</v>
      </c>
    </row>
    <row r="136" spans="5:7" x14ac:dyDescent="0.2">
      <c r="E136" s="3">
        <f t="shared" si="11"/>
        <v>0</v>
      </c>
      <c r="F136" s="3">
        <f t="shared" si="12"/>
        <v>0</v>
      </c>
      <c r="G136" s="1">
        <f t="shared" si="13"/>
        <v>0</v>
      </c>
    </row>
    <row r="137" spans="5:7" x14ac:dyDescent="0.2">
      <c r="E137" s="3">
        <f t="shared" si="11"/>
        <v>0</v>
      </c>
      <c r="F137" s="3">
        <f t="shared" si="12"/>
        <v>0</v>
      </c>
      <c r="G137" s="1">
        <f t="shared" si="13"/>
        <v>0</v>
      </c>
    </row>
    <row r="138" spans="5:7" x14ac:dyDescent="0.2">
      <c r="E138" s="3">
        <f t="shared" si="11"/>
        <v>0</v>
      </c>
      <c r="F138" s="3">
        <f t="shared" si="12"/>
        <v>0</v>
      </c>
      <c r="G138" s="1">
        <f t="shared" si="13"/>
        <v>0</v>
      </c>
    </row>
    <row r="139" spans="5:7" x14ac:dyDescent="0.2">
      <c r="E139" s="3">
        <f t="shared" si="11"/>
        <v>0</v>
      </c>
      <c r="F139" s="3">
        <f t="shared" si="12"/>
        <v>0</v>
      </c>
      <c r="G139" s="1">
        <f t="shared" si="13"/>
        <v>0</v>
      </c>
    </row>
    <row r="140" spans="5:7" x14ac:dyDescent="0.2">
      <c r="E140" s="3">
        <f t="shared" si="11"/>
        <v>0</v>
      </c>
      <c r="F140" s="3">
        <f t="shared" si="12"/>
        <v>0</v>
      </c>
      <c r="G140" s="1">
        <f t="shared" si="13"/>
        <v>0</v>
      </c>
    </row>
    <row r="141" spans="5:7" x14ac:dyDescent="0.2">
      <c r="E141" s="3">
        <f t="shared" si="11"/>
        <v>0</v>
      </c>
      <c r="F141" s="3">
        <f t="shared" si="12"/>
        <v>0</v>
      </c>
      <c r="G141" s="1">
        <f t="shared" si="13"/>
        <v>0</v>
      </c>
    </row>
    <row r="142" spans="5:7" x14ac:dyDescent="0.2">
      <c r="E142" s="3">
        <f t="shared" si="11"/>
        <v>0</v>
      </c>
      <c r="F142" s="3">
        <f t="shared" si="12"/>
        <v>0</v>
      </c>
      <c r="G142" s="1">
        <f t="shared" si="13"/>
        <v>0</v>
      </c>
    </row>
    <row r="143" spans="5:7" x14ac:dyDescent="0.2">
      <c r="E143" s="3">
        <f t="shared" si="11"/>
        <v>0</v>
      </c>
      <c r="F143" s="3">
        <f t="shared" si="12"/>
        <v>0</v>
      </c>
      <c r="G143" s="1">
        <f t="shared" si="13"/>
        <v>0</v>
      </c>
    </row>
    <row r="144" spans="5:7" x14ac:dyDescent="0.2">
      <c r="E144" s="3">
        <f t="shared" si="11"/>
        <v>0</v>
      </c>
      <c r="F144" s="3">
        <f t="shared" si="12"/>
        <v>0</v>
      </c>
      <c r="G144" s="1">
        <f t="shared" si="13"/>
        <v>0</v>
      </c>
    </row>
    <row r="145" spans="5:7" x14ac:dyDescent="0.2">
      <c r="E145" s="3">
        <f t="shared" si="11"/>
        <v>0</v>
      </c>
      <c r="F145" s="3">
        <f t="shared" si="12"/>
        <v>0</v>
      </c>
      <c r="G145" s="1">
        <f t="shared" si="13"/>
        <v>0</v>
      </c>
    </row>
    <row r="146" spans="5:7" x14ac:dyDescent="0.2">
      <c r="E146" s="3">
        <f t="shared" si="11"/>
        <v>0</v>
      </c>
      <c r="F146" s="3">
        <f t="shared" si="12"/>
        <v>0</v>
      </c>
      <c r="G146" s="1">
        <f t="shared" si="13"/>
        <v>0</v>
      </c>
    </row>
    <row r="147" spans="5:7" x14ac:dyDescent="0.2">
      <c r="E147" s="3">
        <f t="shared" si="11"/>
        <v>0</v>
      </c>
      <c r="F147" s="3">
        <f t="shared" si="12"/>
        <v>0</v>
      </c>
      <c r="G147" s="1">
        <f t="shared" si="13"/>
        <v>0</v>
      </c>
    </row>
    <row r="148" spans="5:7" x14ac:dyDescent="0.2">
      <c r="E148" s="3">
        <f t="shared" si="11"/>
        <v>0</v>
      </c>
      <c r="F148" s="3">
        <f t="shared" si="12"/>
        <v>0</v>
      </c>
      <c r="G148" s="1">
        <f t="shared" si="13"/>
        <v>0</v>
      </c>
    </row>
    <row r="149" spans="5:7" x14ac:dyDescent="0.2">
      <c r="E149" s="3">
        <f t="shared" si="11"/>
        <v>0</v>
      </c>
      <c r="F149" s="3">
        <f t="shared" si="12"/>
        <v>0</v>
      </c>
      <c r="G149" s="1">
        <f t="shared" si="13"/>
        <v>0</v>
      </c>
    </row>
    <row r="150" spans="5:7" x14ac:dyDescent="0.2">
      <c r="E150" s="3">
        <f t="shared" si="11"/>
        <v>0</v>
      </c>
      <c r="F150" s="3">
        <f t="shared" si="12"/>
        <v>0</v>
      </c>
      <c r="G150" s="1">
        <f t="shared" si="13"/>
        <v>0</v>
      </c>
    </row>
    <row r="151" spans="5:7" x14ac:dyDescent="0.2">
      <c r="E151" s="3">
        <f t="shared" si="11"/>
        <v>0</v>
      </c>
      <c r="F151" s="3">
        <f t="shared" si="12"/>
        <v>0</v>
      </c>
      <c r="G151" s="1">
        <f t="shared" si="13"/>
        <v>0</v>
      </c>
    </row>
    <row r="152" spans="5:7" x14ac:dyDescent="0.2">
      <c r="E152" s="3">
        <f t="shared" si="11"/>
        <v>0</v>
      </c>
      <c r="F152" s="3">
        <f t="shared" si="12"/>
        <v>0</v>
      </c>
      <c r="G152" s="1">
        <f t="shared" si="13"/>
        <v>0</v>
      </c>
    </row>
    <row r="153" spans="5:7" x14ac:dyDescent="0.2">
      <c r="E153" s="3">
        <f t="shared" si="11"/>
        <v>0</v>
      </c>
      <c r="F153" s="3">
        <f t="shared" si="12"/>
        <v>0</v>
      </c>
      <c r="G153" s="1">
        <f t="shared" si="13"/>
        <v>0</v>
      </c>
    </row>
    <row r="154" spans="5:7" x14ac:dyDescent="0.2">
      <c r="E154" s="3">
        <f t="shared" si="11"/>
        <v>0</v>
      </c>
      <c r="F154" s="3">
        <f t="shared" si="12"/>
        <v>0</v>
      </c>
      <c r="G154" s="1">
        <f t="shared" si="13"/>
        <v>0</v>
      </c>
    </row>
    <row r="155" spans="5:7" x14ac:dyDescent="0.2">
      <c r="E155" s="3">
        <f t="shared" si="11"/>
        <v>0</v>
      </c>
      <c r="F155" s="3">
        <f t="shared" si="12"/>
        <v>0</v>
      </c>
      <c r="G155" s="1">
        <f t="shared" si="13"/>
        <v>0</v>
      </c>
    </row>
    <row r="156" spans="5:7" x14ac:dyDescent="0.2">
      <c r="E156" s="3">
        <f t="shared" si="11"/>
        <v>0</v>
      </c>
      <c r="F156" s="3">
        <f t="shared" si="12"/>
        <v>0</v>
      </c>
      <c r="G156" s="1">
        <f t="shared" si="13"/>
        <v>0</v>
      </c>
    </row>
    <row r="157" spans="5:7" x14ac:dyDescent="0.2">
      <c r="E157" s="3">
        <f t="shared" si="11"/>
        <v>0</v>
      </c>
      <c r="F157" s="3">
        <f t="shared" si="12"/>
        <v>0</v>
      </c>
      <c r="G157" s="1">
        <f t="shared" si="13"/>
        <v>0</v>
      </c>
    </row>
    <row r="158" spans="5:7" x14ac:dyDescent="0.2">
      <c r="E158" s="3">
        <f t="shared" si="11"/>
        <v>0</v>
      </c>
      <c r="F158" s="3">
        <f t="shared" si="12"/>
        <v>0</v>
      </c>
      <c r="G158" s="1">
        <f t="shared" si="13"/>
        <v>0</v>
      </c>
    </row>
    <row r="159" spans="5:7" x14ac:dyDescent="0.2">
      <c r="E159" s="3">
        <f t="shared" si="11"/>
        <v>0</v>
      </c>
      <c r="F159" s="3">
        <f t="shared" si="12"/>
        <v>0</v>
      </c>
      <c r="G159" s="1">
        <f t="shared" si="13"/>
        <v>0</v>
      </c>
    </row>
    <row r="160" spans="5:7" x14ac:dyDescent="0.2">
      <c r="E160" s="3">
        <f t="shared" si="11"/>
        <v>0</v>
      </c>
      <c r="F160" s="3">
        <f t="shared" si="12"/>
        <v>0</v>
      </c>
      <c r="G160" s="1">
        <f t="shared" si="13"/>
        <v>0</v>
      </c>
    </row>
    <row r="161" spans="5:7" x14ac:dyDescent="0.2">
      <c r="E161" s="3">
        <f t="shared" si="11"/>
        <v>0</v>
      </c>
      <c r="F161" s="3">
        <f t="shared" si="12"/>
        <v>0</v>
      </c>
      <c r="G161" s="1">
        <f t="shared" si="13"/>
        <v>0</v>
      </c>
    </row>
    <row r="162" spans="5:7" x14ac:dyDescent="0.2">
      <c r="E162" s="3">
        <f t="shared" si="11"/>
        <v>0</v>
      </c>
      <c r="F162" s="3">
        <f t="shared" si="12"/>
        <v>0</v>
      </c>
      <c r="G162" s="1">
        <f t="shared" si="13"/>
        <v>0</v>
      </c>
    </row>
    <row r="163" spans="5:7" x14ac:dyDescent="0.2">
      <c r="E163" s="3">
        <f t="shared" si="11"/>
        <v>0</v>
      </c>
      <c r="F163" s="3">
        <f t="shared" si="12"/>
        <v>0</v>
      </c>
      <c r="G163" s="1">
        <f t="shared" si="13"/>
        <v>0</v>
      </c>
    </row>
    <row r="164" spans="5:7" x14ac:dyDescent="0.2">
      <c r="E164" s="3">
        <f t="shared" si="11"/>
        <v>0</v>
      </c>
      <c r="F164" s="3">
        <f t="shared" si="12"/>
        <v>0</v>
      </c>
      <c r="G164" s="1">
        <f t="shared" si="13"/>
        <v>0</v>
      </c>
    </row>
    <row r="165" spans="5:7" x14ac:dyDescent="0.2">
      <c r="E165" s="3">
        <f t="shared" si="11"/>
        <v>0</v>
      </c>
      <c r="F165" s="3">
        <f t="shared" si="12"/>
        <v>0</v>
      </c>
      <c r="G165" s="1">
        <f t="shared" si="13"/>
        <v>0</v>
      </c>
    </row>
    <row r="166" spans="5:7" x14ac:dyDescent="0.2">
      <c r="E166" s="3">
        <f t="shared" si="11"/>
        <v>0</v>
      </c>
      <c r="F166" s="3">
        <f t="shared" si="12"/>
        <v>0</v>
      </c>
      <c r="G166" s="1">
        <f t="shared" si="13"/>
        <v>0</v>
      </c>
    </row>
    <row r="167" spans="5:7" x14ac:dyDescent="0.2">
      <c r="E167" s="3">
        <f t="shared" si="11"/>
        <v>0</v>
      </c>
      <c r="F167" s="3">
        <f t="shared" si="12"/>
        <v>0</v>
      </c>
      <c r="G167" s="1">
        <f t="shared" si="13"/>
        <v>0</v>
      </c>
    </row>
    <row r="168" spans="5:7" x14ac:dyDescent="0.2">
      <c r="E168" s="3">
        <f t="shared" si="11"/>
        <v>0</v>
      </c>
      <c r="F168" s="3">
        <f t="shared" si="12"/>
        <v>0</v>
      </c>
      <c r="G168" s="1">
        <f t="shared" si="13"/>
        <v>0</v>
      </c>
    </row>
    <row r="169" spans="5:7" x14ac:dyDescent="0.2">
      <c r="E169" s="3">
        <f t="shared" si="11"/>
        <v>0</v>
      </c>
      <c r="F169" s="3">
        <f t="shared" si="12"/>
        <v>0</v>
      </c>
      <c r="G169" s="1">
        <f t="shared" si="13"/>
        <v>0</v>
      </c>
    </row>
    <row r="170" spans="5:7" x14ac:dyDescent="0.2">
      <c r="E170" s="3">
        <f t="shared" si="11"/>
        <v>0</v>
      </c>
      <c r="F170" s="3">
        <f t="shared" si="12"/>
        <v>0</v>
      </c>
      <c r="G170" s="1">
        <f t="shared" si="13"/>
        <v>0</v>
      </c>
    </row>
    <row r="171" spans="5:7" x14ac:dyDescent="0.2">
      <c r="E171" s="3">
        <f t="shared" si="11"/>
        <v>0</v>
      </c>
      <c r="F171" s="3">
        <f t="shared" si="12"/>
        <v>0</v>
      </c>
      <c r="G171" s="1">
        <f t="shared" si="13"/>
        <v>0</v>
      </c>
    </row>
    <row r="172" spans="5:7" x14ac:dyDescent="0.2">
      <c r="E172" s="3">
        <f t="shared" si="11"/>
        <v>0</v>
      </c>
      <c r="F172" s="3">
        <f t="shared" si="12"/>
        <v>0</v>
      </c>
      <c r="G172" s="1">
        <f t="shared" si="13"/>
        <v>0</v>
      </c>
    </row>
    <row r="173" spans="5:7" x14ac:dyDescent="0.2">
      <c r="E173" s="3">
        <f t="shared" si="11"/>
        <v>0</v>
      </c>
      <c r="F173" s="3">
        <f t="shared" si="12"/>
        <v>0</v>
      </c>
      <c r="G173" s="1">
        <f t="shared" si="13"/>
        <v>0</v>
      </c>
    </row>
    <row r="174" spans="5:7" x14ac:dyDescent="0.2">
      <c r="E174" s="3">
        <f t="shared" si="11"/>
        <v>0</v>
      </c>
      <c r="F174" s="3">
        <f t="shared" si="12"/>
        <v>0</v>
      </c>
      <c r="G174" s="1">
        <f t="shared" si="13"/>
        <v>0</v>
      </c>
    </row>
    <row r="175" spans="5:7" x14ac:dyDescent="0.2">
      <c r="E175" s="3">
        <f t="shared" si="11"/>
        <v>0</v>
      </c>
      <c r="F175" s="3">
        <f t="shared" si="12"/>
        <v>0</v>
      </c>
      <c r="G175" s="1">
        <f t="shared" si="13"/>
        <v>0</v>
      </c>
    </row>
    <row r="176" spans="5:7" x14ac:dyDescent="0.2">
      <c r="E176" s="3">
        <f t="shared" si="11"/>
        <v>0</v>
      </c>
      <c r="F176" s="3">
        <f t="shared" si="12"/>
        <v>0</v>
      </c>
      <c r="G176" s="1">
        <f t="shared" si="13"/>
        <v>0</v>
      </c>
    </row>
    <row r="177" spans="5:7" x14ac:dyDescent="0.2">
      <c r="E177" s="3">
        <f t="shared" si="11"/>
        <v>0</v>
      </c>
      <c r="F177" s="3">
        <f t="shared" si="12"/>
        <v>0</v>
      </c>
      <c r="G177" s="1">
        <f t="shared" si="13"/>
        <v>0</v>
      </c>
    </row>
    <row r="178" spans="5:7" x14ac:dyDescent="0.2">
      <c r="E178" s="3">
        <f t="shared" si="11"/>
        <v>0</v>
      </c>
      <c r="F178" s="3">
        <f t="shared" si="12"/>
        <v>0</v>
      </c>
      <c r="G178" s="1">
        <f t="shared" si="13"/>
        <v>0</v>
      </c>
    </row>
    <row r="179" spans="5:7" x14ac:dyDescent="0.2">
      <c r="E179" s="3">
        <f t="shared" si="11"/>
        <v>0</v>
      </c>
      <c r="F179" s="3">
        <f t="shared" si="12"/>
        <v>0</v>
      </c>
      <c r="G179" s="1">
        <f t="shared" si="13"/>
        <v>0</v>
      </c>
    </row>
    <row r="180" spans="5:7" x14ac:dyDescent="0.2">
      <c r="E180" s="3">
        <f t="shared" si="11"/>
        <v>0</v>
      </c>
      <c r="F180" s="3">
        <f t="shared" si="12"/>
        <v>0</v>
      </c>
      <c r="G180" s="1">
        <f t="shared" si="13"/>
        <v>0</v>
      </c>
    </row>
    <row r="181" spans="5:7" x14ac:dyDescent="0.2">
      <c r="E181" s="3">
        <f t="shared" ref="E181:E185" si="14">INT(C181*D181)</f>
        <v>0</v>
      </c>
      <c r="F181" s="3">
        <f t="shared" ref="F181:F185" si="15">IF(INT(C181*(D181-1.5)&lt;0),0,INT(C181*(D181-1.5)))</f>
        <v>0</v>
      </c>
      <c r="G181" s="1">
        <f t="shared" ref="G181:G185" si="16">E181-(C181*1.5)-F181</f>
        <v>0</v>
      </c>
    </row>
    <row r="182" spans="5:7" x14ac:dyDescent="0.2">
      <c r="E182" s="3">
        <f t="shared" si="14"/>
        <v>0</v>
      </c>
      <c r="F182" s="3">
        <f t="shared" si="15"/>
        <v>0</v>
      </c>
      <c r="G182" s="1">
        <f t="shared" si="16"/>
        <v>0</v>
      </c>
    </row>
    <row r="183" spans="5:7" x14ac:dyDescent="0.2">
      <c r="E183" s="3">
        <f t="shared" si="14"/>
        <v>0</v>
      </c>
      <c r="F183" s="3">
        <f t="shared" si="15"/>
        <v>0</v>
      </c>
      <c r="G183" s="1">
        <f t="shared" si="16"/>
        <v>0</v>
      </c>
    </row>
    <row r="184" spans="5:7" x14ac:dyDescent="0.2">
      <c r="E184" s="3">
        <f t="shared" si="14"/>
        <v>0</v>
      </c>
      <c r="F184" s="3">
        <f t="shared" si="15"/>
        <v>0</v>
      </c>
      <c r="G184" s="1">
        <f t="shared" si="16"/>
        <v>0</v>
      </c>
    </row>
    <row r="185" spans="5:7" x14ac:dyDescent="0.2">
      <c r="E185" s="3">
        <f t="shared" si="14"/>
        <v>0</v>
      </c>
      <c r="F185" s="3">
        <f t="shared" si="15"/>
        <v>0</v>
      </c>
      <c r="G185" s="1">
        <f t="shared" si="16"/>
        <v>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SÔ</vt:lpstr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USER;1</dc:creator>
  <cp:lastModifiedBy>LENOVO</cp:lastModifiedBy>
  <cp:lastPrinted>2010-10-29T08:49:00Z</cp:lastPrinted>
  <dcterms:created xsi:type="dcterms:W3CDTF">2006-09-03T03:20:45Z</dcterms:created>
  <dcterms:modified xsi:type="dcterms:W3CDTF">2026-04-17T21:39:55Z</dcterms:modified>
</cp:coreProperties>
</file>