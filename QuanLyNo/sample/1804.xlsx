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04-2026\"/>
    </mc:Choice>
  </mc:AlternateContent>
  <xr:revisionPtr revIDLastSave="0" documentId="13_ncr:1_{80BE0F9F-3483-4525-9D26-09CC2CC10E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Ô" sheetId="19" r:id="rId1"/>
    <sheet name="Sheet1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9" l="1"/>
  <c r="E55" i="19"/>
  <c r="B53" i="19"/>
  <c r="C53" i="19"/>
  <c r="D53" i="19"/>
  <c r="E53" i="19"/>
  <c r="G53" i="19" s="1"/>
  <c r="F53" i="19"/>
  <c r="C52" i="19"/>
  <c r="E52" i="19" s="1"/>
  <c r="C50" i="19"/>
  <c r="B12" i="19"/>
  <c r="C12" i="19"/>
  <c r="D12" i="19"/>
  <c r="E12" i="19"/>
  <c r="F12" i="19"/>
  <c r="E11" i="19"/>
  <c r="F11" i="19"/>
  <c r="C11" i="19"/>
  <c r="C49" i="19"/>
  <c r="E49" i="19" s="1"/>
  <c r="C32" i="19"/>
  <c r="E32" i="19" s="1"/>
  <c r="C39" i="19"/>
  <c r="E39" i="19" s="1"/>
  <c r="C1048519" i="19"/>
  <c r="C1048518" i="19"/>
  <c r="C1048517" i="19"/>
  <c r="C1048516" i="19"/>
  <c r="C1048521" i="19" s="1"/>
  <c r="C1048515" i="19"/>
  <c r="C1048508" i="19"/>
  <c r="C1048507" i="19"/>
  <c r="C1048506" i="19"/>
  <c r="C1048505" i="19"/>
  <c r="C1048504" i="19"/>
  <c r="C1048503" i="19"/>
  <c r="C1048510" i="19" s="1"/>
  <c r="C1048502" i="19"/>
  <c r="C1048501" i="19"/>
  <c r="C36" i="19"/>
  <c r="F36" i="19" s="1"/>
  <c r="C35" i="19"/>
  <c r="E35" i="19" s="1"/>
  <c r="C31" i="19"/>
  <c r="C30" i="19"/>
  <c r="E30" i="19" s="1"/>
  <c r="C29" i="19"/>
  <c r="E29" i="19" s="1"/>
  <c r="C26" i="19"/>
  <c r="E26" i="19" s="1"/>
  <c r="C28" i="19"/>
  <c r="F28" i="19" s="1"/>
  <c r="C27" i="19"/>
  <c r="E27" i="19" s="1"/>
  <c r="C24" i="19"/>
  <c r="F24" i="19" s="1"/>
  <c r="E23" i="19"/>
  <c r="C22" i="19"/>
  <c r="C19" i="19"/>
  <c r="E19" i="19" s="1"/>
  <c r="C18" i="19"/>
  <c r="C17" i="19"/>
  <c r="E17" i="19" s="1"/>
  <c r="C16" i="19"/>
  <c r="C14" i="19"/>
  <c r="C3" i="19"/>
  <c r="E3" i="19" s="1"/>
  <c r="E4" i="19"/>
  <c r="F4" i="19"/>
  <c r="E5" i="19"/>
  <c r="F5" i="19"/>
  <c r="E6" i="19"/>
  <c r="F6" i="19"/>
  <c r="E7" i="19"/>
  <c r="F7" i="19"/>
  <c r="E8" i="19"/>
  <c r="F8" i="19"/>
  <c r="E9" i="19"/>
  <c r="F9" i="19"/>
  <c r="E10" i="19"/>
  <c r="F10" i="19"/>
  <c r="G10" i="19" s="1"/>
  <c r="E13" i="19"/>
  <c r="F13" i="19"/>
  <c r="E14" i="19"/>
  <c r="F14" i="19"/>
  <c r="E15" i="19"/>
  <c r="F15" i="19"/>
  <c r="E16" i="19"/>
  <c r="F16" i="19"/>
  <c r="F17" i="19"/>
  <c r="E18" i="19"/>
  <c r="F18" i="19"/>
  <c r="F19" i="19"/>
  <c r="E20" i="19"/>
  <c r="F20" i="19"/>
  <c r="E21" i="19"/>
  <c r="F21" i="19"/>
  <c r="E22" i="19"/>
  <c r="F22" i="19"/>
  <c r="F23" i="19"/>
  <c r="E24" i="19"/>
  <c r="E25" i="19"/>
  <c r="F25" i="19"/>
  <c r="F27" i="19"/>
  <c r="E28" i="19"/>
  <c r="E31" i="19"/>
  <c r="F31" i="19"/>
  <c r="E33" i="19"/>
  <c r="F33" i="19"/>
  <c r="E34" i="19"/>
  <c r="F34" i="19"/>
  <c r="E36" i="19"/>
  <c r="E37" i="19"/>
  <c r="F37" i="19"/>
  <c r="E38" i="19"/>
  <c r="F38" i="19"/>
  <c r="E40" i="19"/>
  <c r="F40" i="19"/>
  <c r="E41" i="19"/>
  <c r="F41" i="19"/>
  <c r="E42" i="19"/>
  <c r="F42" i="19"/>
  <c r="E43" i="19"/>
  <c r="F43" i="19"/>
  <c r="E44" i="19"/>
  <c r="F44" i="19"/>
  <c r="E45" i="19"/>
  <c r="F45" i="19"/>
  <c r="E46" i="19"/>
  <c r="F46" i="19"/>
  <c r="E47" i="19"/>
  <c r="F47" i="19"/>
  <c r="E48" i="19"/>
  <c r="F48" i="19"/>
  <c r="E50" i="19"/>
  <c r="F50" i="19"/>
  <c r="E51" i="19"/>
  <c r="F51" i="19"/>
  <c r="F56" i="19"/>
  <c r="E57" i="19"/>
  <c r="F57" i="19"/>
  <c r="E58" i="19"/>
  <c r="F58" i="19"/>
  <c r="E59" i="19"/>
  <c r="F59" i="19"/>
  <c r="E60" i="19"/>
  <c r="F60" i="19"/>
  <c r="E61" i="19"/>
  <c r="F61" i="19"/>
  <c r="E62" i="19"/>
  <c r="F62" i="19"/>
  <c r="E63" i="19"/>
  <c r="F63" i="19"/>
  <c r="E64" i="19"/>
  <c r="F64" i="19"/>
  <c r="E65" i="19"/>
  <c r="F65" i="19"/>
  <c r="E66" i="19"/>
  <c r="F66" i="19"/>
  <c r="E67" i="19"/>
  <c r="F67" i="19"/>
  <c r="E68" i="19"/>
  <c r="F68" i="19"/>
  <c r="E69" i="19"/>
  <c r="F69" i="19"/>
  <c r="E70" i="19"/>
  <c r="F70" i="19"/>
  <c r="E71" i="19"/>
  <c r="F71" i="19"/>
  <c r="E72" i="19"/>
  <c r="F72" i="19"/>
  <c r="E73" i="19"/>
  <c r="F73" i="19"/>
  <c r="E74" i="19"/>
  <c r="F74" i="19"/>
  <c r="E75" i="19"/>
  <c r="F75" i="19"/>
  <c r="E76" i="19"/>
  <c r="F76" i="19"/>
  <c r="E77" i="19"/>
  <c r="F77" i="19"/>
  <c r="E78" i="19"/>
  <c r="F78" i="19"/>
  <c r="E79" i="19"/>
  <c r="F79" i="19"/>
  <c r="E80" i="19"/>
  <c r="F80" i="19"/>
  <c r="E81" i="19"/>
  <c r="F81" i="19"/>
  <c r="E82" i="19"/>
  <c r="F82" i="19"/>
  <c r="G82" i="19" s="1"/>
  <c r="E83" i="19"/>
  <c r="F83" i="19"/>
  <c r="E84" i="19"/>
  <c r="F84" i="19"/>
  <c r="E85" i="19"/>
  <c r="F85" i="19"/>
  <c r="E86" i="19"/>
  <c r="F86" i="19"/>
  <c r="E87" i="19"/>
  <c r="F87" i="19"/>
  <c r="E88" i="19"/>
  <c r="F88" i="19"/>
  <c r="E89" i="19"/>
  <c r="F89" i="19"/>
  <c r="E90" i="19"/>
  <c r="F90" i="19"/>
  <c r="E91" i="19"/>
  <c r="F91" i="19"/>
  <c r="E92" i="19"/>
  <c r="F92" i="19"/>
  <c r="E93" i="19"/>
  <c r="F93" i="19"/>
  <c r="E94" i="19"/>
  <c r="F94" i="19"/>
  <c r="E95" i="19"/>
  <c r="F95" i="19"/>
  <c r="E96" i="19"/>
  <c r="F96" i="19"/>
  <c r="E97" i="19"/>
  <c r="F97" i="19"/>
  <c r="E98" i="19"/>
  <c r="F98" i="19"/>
  <c r="E99" i="19"/>
  <c r="F99" i="19"/>
  <c r="E100" i="19"/>
  <c r="F100" i="19"/>
  <c r="E101" i="19"/>
  <c r="F101" i="19"/>
  <c r="E102" i="19"/>
  <c r="F102" i="19"/>
  <c r="G102" i="19" s="1"/>
  <c r="E103" i="19"/>
  <c r="F103" i="19"/>
  <c r="E104" i="19"/>
  <c r="F104" i="19"/>
  <c r="E105" i="19"/>
  <c r="F105" i="19"/>
  <c r="E106" i="19"/>
  <c r="F106" i="19"/>
  <c r="E107" i="19"/>
  <c r="F107" i="19"/>
  <c r="E108" i="19"/>
  <c r="F108" i="19"/>
  <c r="E109" i="19"/>
  <c r="F109" i="19"/>
  <c r="E110" i="19"/>
  <c r="F110" i="19"/>
  <c r="E111" i="19"/>
  <c r="F111" i="19"/>
  <c r="E112" i="19"/>
  <c r="F112" i="19"/>
  <c r="E113" i="19"/>
  <c r="F113" i="19"/>
  <c r="E114" i="19"/>
  <c r="F114" i="19"/>
  <c r="G114" i="19" s="1"/>
  <c r="E115" i="19"/>
  <c r="F115" i="19"/>
  <c r="E116" i="19"/>
  <c r="F116" i="19"/>
  <c r="E117" i="19"/>
  <c r="F117" i="19"/>
  <c r="E118" i="19"/>
  <c r="F118" i="19"/>
  <c r="E119" i="19"/>
  <c r="F119" i="19"/>
  <c r="E120" i="19"/>
  <c r="F120" i="19"/>
  <c r="E121" i="19"/>
  <c r="F121" i="19"/>
  <c r="E122" i="19"/>
  <c r="F122" i="19"/>
  <c r="G122" i="19" s="1"/>
  <c r="E123" i="19"/>
  <c r="F123" i="19"/>
  <c r="E124" i="19"/>
  <c r="F124" i="19"/>
  <c r="G124" i="19" s="1"/>
  <c r="E125" i="19"/>
  <c r="F125" i="19"/>
  <c r="E126" i="19"/>
  <c r="F126" i="19"/>
  <c r="G126" i="19" s="1"/>
  <c r="E127" i="19"/>
  <c r="F127" i="19"/>
  <c r="E128" i="19"/>
  <c r="F128" i="19"/>
  <c r="G128" i="19" s="1"/>
  <c r="E129" i="19"/>
  <c r="F129" i="19"/>
  <c r="E130" i="19"/>
  <c r="F130" i="19"/>
  <c r="G130" i="19" s="1"/>
  <c r="E131" i="19"/>
  <c r="F131" i="19"/>
  <c r="E132" i="19"/>
  <c r="F132" i="19"/>
  <c r="E133" i="19"/>
  <c r="F133" i="19"/>
  <c r="E134" i="19"/>
  <c r="F134" i="19"/>
  <c r="G134" i="19" s="1"/>
  <c r="E135" i="19"/>
  <c r="F135" i="19"/>
  <c r="E136" i="19"/>
  <c r="F136" i="19"/>
  <c r="E137" i="19"/>
  <c r="F137" i="19"/>
  <c r="E138" i="19"/>
  <c r="F138" i="19"/>
  <c r="E139" i="19"/>
  <c r="F139" i="19"/>
  <c r="E140" i="19"/>
  <c r="F140" i="19"/>
  <c r="E141" i="19"/>
  <c r="F141" i="19"/>
  <c r="E142" i="19"/>
  <c r="F142" i="19"/>
  <c r="E143" i="19"/>
  <c r="F143" i="19"/>
  <c r="E144" i="19"/>
  <c r="F144" i="19"/>
  <c r="E145" i="19"/>
  <c r="F145" i="19"/>
  <c r="E146" i="19"/>
  <c r="F146" i="19"/>
  <c r="G146" i="19" s="1"/>
  <c r="E147" i="19"/>
  <c r="F147" i="19"/>
  <c r="E148" i="19"/>
  <c r="F148" i="19"/>
  <c r="E149" i="19"/>
  <c r="F149" i="19"/>
  <c r="E150" i="19"/>
  <c r="F150" i="19"/>
  <c r="G150" i="19" s="1"/>
  <c r="E151" i="19"/>
  <c r="F151" i="19"/>
  <c r="E152" i="19"/>
  <c r="F152" i="19"/>
  <c r="E153" i="19"/>
  <c r="F153" i="19"/>
  <c r="E154" i="19"/>
  <c r="F154" i="19"/>
  <c r="E155" i="19"/>
  <c r="F155" i="19"/>
  <c r="E156" i="19"/>
  <c r="F156" i="19"/>
  <c r="E157" i="19"/>
  <c r="F157" i="19"/>
  <c r="E158" i="19"/>
  <c r="F158" i="19"/>
  <c r="E159" i="19"/>
  <c r="F159" i="19"/>
  <c r="E160" i="19"/>
  <c r="F160" i="19"/>
  <c r="E161" i="19"/>
  <c r="F161" i="19"/>
  <c r="E162" i="19"/>
  <c r="F162" i="19"/>
  <c r="E163" i="19"/>
  <c r="F163" i="19"/>
  <c r="E164" i="19"/>
  <c r="F164" i="19"/>
  <c r="E165" i="19"/>
  <c r="F165" i="19"/>
  <c r="E166" i="19"/>
  <c r="F166" i="19"/>
  <c r="E167" i="19"/>
  <c r="F167" i="19"/>
  <c r="E168" i="19"/>
  <c r="F168" i="19"/>
  <c r="E169" i="19"/>
  <c r="F169" i="19"/>
  <c r="E170" i="19"/>
  <c r="F170" i="19"/>
  <c r="E171" i="19"/>
  <c r="F171" i="19"/>
  <c r="E172" i="19"/>
  <c r="F172" i="19"/>
  <c r="E173" i="19"/>
  <c r="F173" i="19"/>
  <c r="E174" i="19"/>
  <c r="F174" i="19"/>
  <c r="E175" i="19"/>
  <c r="F175" i="19"/>
  <c r="G66" i="19"/>
  <c r="G70" i="19"/>
  <c r="G71" i="19"/>
  <c r="G118" i="19"/>
  <c r="E176" i="19"/>
  <c r="F176" i="19"/>
  <c r="E177" i="19"/>
  <c r="F177" i="19"/>
  <c r="E178" i="19"/>
  <c r="F178" i="19"/>
  <c r="E179" i="19"/>
  <c r="F179" i="19"/>
  <c r="E180" i="19"/>
  <c r="F180" i="19"/>
  <c r="E181" i="19"/>
  <c r="F181" i="19"/>
  <c r="E182" i="19"/>
  <c r="F182" i="19"/>
  <c r="E183" i="19"/>
  <c r="F183" i="19"/>
  <c r="E184" i="19"/>
  <c r="F184" i="19"/>
  <c r="E185" i="19"/>
  <c r="F185" i="19"/>
  <c r="E186" i="19"/>
  <c r="F186" i="19"/>
  <c r="E187" i="19"/>
  <c r="F187" i="19"/>
  <c r="E188" i="19"/>
  <c r="F188" i="19"/>
  <c r="E189" i="19"/>
  <c r="F189" i="19"/>
  <c r="E190" i="19"/>
  <c r="F190" i="19"/>
  <c r="E191" i="19"/>
  <c r="F191" i="19"/>
  <c r="E192" i="19"/>
  <c r="F192" i="19"/>
  <c r="E193" i="19"/>
  <c r="F193" i="19"/>
  <c r="E194" i="19"/>
  <c r="F194" i="19"/>
  <c r="E195" i="19"/>
  <c r="F195" i="19"/>
  <c r="E196" i="19"/>
  <c r="F196" i="19"/>
  <c r="E197" i="19"/>
  <c r="F197" i="19"/>
  <c r="E198" i="19"/>
  <c r="F198" i="19"/>
  <c r="E199" i="19"/>
  <c r="F199" i="19"/>
  <c r="E200" i="19"/>
  <c r="F200" i="19"/>
  <c r="E201" i="19"/>
  <c r="F201" i="19"/>
  <c r="E202" i="19"/>
  <c r="F202" i="19"/>
  <c r="E203" i="19"/>
  <c r="F203" i="19"/>
  <c r="E204" i="19"/>
  <c r="F204" i="19"/>
  <c r="E205" i="19"/>
  <c r="F205" i="19"/>
  <c r="E206" i="19"/>
  <c r="F206" i="19"/>
  <c r="E207" i="19"/>
  <c r="F207" i="19"/>
  <c r="F55" i="19" l="1"/>
  <c r="F52" i="19"/>
  <c r="F26" i="19"/>
  <c r="G167" i="19"/>
  <c r="G147" i="19"/>
  <c r="G135" i="19"/>
  <c r="G129" i="19"/>
  <c r="G125" i="19"/>
  <c r="G103" i="19"/>
  <c r="G97" i="19"/>
  <c r="G93" i="19"/>
  <c r="G83" i="19"/>
  <c r="F49" i="19"/>
  <c r="G49" i="19" s="1"/>
  <c r="F39" i="19"/>
  <c r="G39" i="19" s="1"/>
  <c r="F35" i="19"/>
  <c r="F32" i="19"/>
  <c r="G32" i="19" s="1"/>
  <c r="F30" i="19"/>
  <c r="G30" i="19" s="1"/>
  <c r="F29" i="19"/>
  <c r="G29" i="19" s="1"/>
  <c r="G15" i="19"/>
  <c r="F3" i="19"/>
  <c r="G9" i="19"/>
  <c r="G65" i="19"/>
  <c r="G37" i="19"/>
  <c r="G198" i="19"/>
  <c r="G194" i="19"/>
  <c r="G192" i="19"/>
  <c r="G190" i="19"/>
  <c r="G188" i="19"/>
  <c r="G186" i="19"/>
  <c r="G179" i="19"/>
  <c r="G33" i="19"/>
  <c r="G178" i="19"/>
  <c r="G57" i="19"/>
  <c r="G47" i="19"/>
  <c r="G45" i="19"/>
  <c r="G43" i="19"/>
  <c r="G21" i="19"/>
  <c r="G19" i="19"/>
  <c r="G18" i="19"/>
  <c r="G193" i="19"/>
  <c r="G189" i="19"/>
  <c r="G166" i="19"/>
  <c r="G162" i="19"/>
  <c r="G160" i="19"/>
  <c r="G158" i="19"/>
  <c r="G156" i="19"/>
  <c r="G154" i="19"/>
  <c r="G115" i="19"/>
  <c r="G98" i="19"/>
  <c r="G96" i="19"/>
  <c r="G94" i="19"/>
  <c r="G92" i="19"/>
  <c r="G90" i="19"/>
  <c r="G86" i="19"/>
  <c r="G44" i="19"/>
  <c r="G17" i="19"/>
  <c r="G199" i="19"/>
  <c r="G161" i="19"/>
  <c r="G157" i="19"/>
  <c r="G182" i="19"/>
  <c r="G16" i="19"/>
  <c r="G62" i="19"/>
  <c r="G64" i="19"/>
  <c r="G63" i="19"/>
  <c r="G24" i="19"/>
  <c r="G163" i="19"/>
  <c r="G99" i="19"/>
  <c r="G67" i="19"/>
  <c r="G50" i="19"/>
  <c r="G195" i="19"/>
  <c r="G131" i="19"/>
  <c r="G206" i="19"/>
  <c r="G204" i="19"/>
  <c r="G202" i="19"/>
  <c r="G183" i="19"/>
  <c r="G176" i="19"/>
  <c r="G174" i="19"/>
  <c r="G172" i="19"/>
  <c r="G170" i="19"/>
  <c r="G151" i="19"/>
  <c r="G144" i="19"/>
  <c r="G142" i="19"/>
  <c r="G140" i="19"/>
  <c r="G138" i="19"/>
  <c r="G119" i="19"/>
  <c r="G112" i="19"/>
  <c r="G110" i="19"/>
  <c r="G108" i="19"/>
  <c r="G106" i="19"/>
  <c r="G87" i="19"/>
  <c r="G80" i="19"/>
  <c r="G78" i="19"/>
  <c r="G76" i="19"/>
  <c r="G74" i="19"/>
  <c r="G58" i="19"/>
  <c r="G38" i="19"/>
  <c r="G205" i="19"/>
  <c r="G177" i="19"/>
  <c r="G173" i="19"/>
  <c r="G145" i="19"/>
  <c r="G141" i="19"/>
  <c r="G113" i="19"/>
  <c r="G109" i="19"/>
  <c r="G81" i="19"/>
  <c r="G77" i="19"/>
  <c r="G48" i="19"/>
  <c r="G28" i="19"/>
  <c r="G6" i="19"/>
  <c r="G60" i="19"/>
  <c r="G40" i="19"/>
  <c r="G41" i="19"/>
  <c r="G34" i="19"/>
  <c r="G25" i="19"/>
  <c r="G27" i="19"/>
  <c r="G22" i="19"/>
  <c r="G46" i="19"/>
  <c r="G23" i="19"/>
  <c r="G8" i="19"/>
  <c r="G203" i="19"/>
  <c r="G201" i="19"/>
  <c r="G196" i="19"/>
  <c r="G187" i="19"/>
  <c r="G185" i="19"/>
  <c r="G180" i="19"/>
  <c r="G171" i="19"/>
  <c r="G169" i="19"/>
  <c r="G164" i="19"/>
  <c r="G155" i="19"/>
  <c r="G153" i="19"/>
  <c r="G148" i="19"/>
  <c r="G139" i="19"/>
  <c r="G137" i="19"/>
  <c r="G132" i="19"/>
  <c r="G123" i="19"/>
  <c r="G121" i="19"/>
  <c r="G116" i="19"/>
  <c r="G107" i="19"/>
  <c r="G105" i="19"/>
  <c r="G100" i="19"/>
  <c r="G91" i="19"/>
  <c r="G89" i="19"/>
  <c r="G84" i="19"/>
  <c r="G75" i="19"/>
  <c r="G73" i="19"/>
  <c r="G68" i="19"/>
  <c r="G59" i="19"/>
  <c r="G51" i="19"/>
  <c r="G42" i="19"/>
  <c r="G35" i="19"/>
  <c r="G26" i="19"/>
  <c r="G7" i="19"/>
  <c r="G207" i="19"/>
  <c r="G200" i="19"/>
  <c r="G191" i="19"/>
  <c r="G184" i="19"/>
  <c r="G175" i="19"/>
  <c r="G168" i="19"/>
  <c r="G159" i="19"/>
  <c r="G152" i="19"/>
  <c r="G143" i="19"/>
  <c r="G136" i="19"/>
  <c r="G127" i="19"/>
  <c r="G120" i="19"/>
  <c r="G111" i="19"/>
  <c r="G104" i="19"/>
  <c r="G95" i="19"/>
  <c r="G88" i="19"/>
  <c r="G79" i="19"/>
  <c r="G72" i="19"/>
  <c r="G56" i="19"/>
  <c r="G197" i="19"/>
  <c r="G181" i="19"/>
  <c r="G165" i="19"/>
  <c r="G149" i="19"/>
  <c r="G133" i="19"/>
  <c r="G117" i="19"/>
  <c r="G101" i="19"/>
  <c r="G85" i="19"/>
  <c r="G69" i="19"/>
  <c r="G52" i="19"/>
  <c r="G36" i="19"/>
  <c r="G31" i="19"/>
  <c r="G5" i="19"/>
  <c r="G4" i="19"/>
  <c r="G55" i="19" l="1"/>
  <c r="G3" i="19"/>
  <c r="G61" i="19"/>
  <c r="E54" i="19"/>
  <c r="F54" i="19" l="1"/>
  <c r="G54" i="19" s="1"/>
</calcChain>
</file>

<file path=xl/sharedStrings.xml><?xml version="1.0" encoding="utf-8"?>
<sst xmlns="http://schemas.openxmlformats.org/spreadsheetml/2006/main" count="7" uniqueCount="7">
  <si>
    <t>SL</t>
  </si>
  <si>
    <t>GIÁ</t>
  </si>
  <si>
    <t>T.TIỀN</t>
  </si>
  <si>
    <t>SC</t>
  </si>
  <si>
    <t>KH</t>
  </si>
  <si>
    <t>Dung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</si>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</sst>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4"/>
      <name val="Arial"/>
    </font>
    <font>
      <sz val="14"/>
      <color indexed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21"/>
  <sheetViews>
    <sheetView tabSelected="1" topLeftCell="A44" zoomScale="120" zoomScaleNormal="120" workbookViewId="0">
      <selection activeCell="C53" sqref="C53"/>
    </sheetView>
  </sheetViews>
  <sheetFormatPr defaultRowHeight="18" x14ac:dyDescent="0.25"/>
  <cols>
    <col min="1" max="1" width="6.6328125" customWidth="1"/>
    <col min="2" max="2" width="5.36328125" customWidth="1"/>
    <col min="3" max="4" width="7.7265625" customWidth="1"/>
    <col min="7" max="7" width="1.90625" style="1" customWidth="1"/>
    <col min="8" max="8" width="6.7265625" style="1" customWidth="1"/>
    <col min="9" max="9" width="6.7265625" style="2" customWidth="1"/>
  </cols>
  <sheetData>
    <row r="1" spans="1:7" ht="29.25" customHeight="1" x14ac:dyDescent="0.3">
      <c r="A1" s="4">
        <v>46031</v>
      </c>
      <c r="B1" s="4"/>
      <c r="C1" s="4"/>
      <c r="D1" s="4"/>
      <c r="E1" s="4"/>
      <c r="F1" s="4"/>
    </row>
    <row r="2" spans="1:7" x14ac:dyDescent="0.25">
      <c r="A2" s="3" t="s">
        <v>4</v>
      </c>
      <c r="B2" s="3" t="s">
        <v>3</v>
      </c>
      <c r="C2" s="3" t="s">
        <v>0</v>
      </c>
      <c r="D2" s="3" t="s">
        <v>1</v>
      </c>
      <c r="E2" s="3" t="s">
        <v>2</v>
      </c>
      <c r="F2" s="3"/>
    </row>
    <row r="3" spans="1:7" x14ac:dyDescent="0.25">
      <c r="A3" t="s">
        <v>5</v>
      </c>
      <c r="B3">
        <v>14</v>
      </c>
      <c r="C3">
        <f>85.4+83.3+83.9+90.6+89.4+101.5+98.4+59.7+61.1+64.4+60.7+67.9+70.9+71.2-2</f>
        <v>1086.4000000000001</v>
      </c>
      <c r="D3">
        <v>81</v>
      </c>
      <c r="E3">
        <f t="shared" ref="E3:E60" si="0">INT(C3*D3)</f>
        <v>87998</v>
      </c>
      <c r="F3">
        <f t="shared" ref="F3:F60" si="1">IF(INT(C3*(D3-1.5)&lt;0),0,INT(C3*(D3-1.5)))</f>
        <v>86368</v>
      </c>
      <c r="G3" s="1">
        <f>E3-(C3*1.5)-F3</f>
        <v>0.39999999999417923</v>
      </c>
    </row>
    <row r="4" spans="1:7" x14ac:dyDescent="0.25">
      <c r="C4">
        <v>25.9</v>
      </c>
      <c r="D4">
        <v>75</v>
      </c>
      <c r="E4">
        <f t="shared" si="0"/>
        <v>1942</v>
      </c>
      <c r="F4">
        <f t="shared" si="1"/>
        <v>1903</v>
      </c>
      <c r="G4" s="1">
        <f t="shared" ref="G4:G74" si="2">E4-(C4*1.5)-F4</f>
        <v>0.15000000000009095</v>
      </c>
    </row>
    <row r="5" spans="1:7" x14ac:dyDescent="0.25">
      <c r="C5">
        <v>12.2</v>
      </c>
      <c r="D5">
        <v>75</v>
      </c>
      <c r="E5">
        <f t="shared" si="0"/>
        <v>915</v>
      </c>
      <c r="F5">
        <f t="shared" si="1"/>
        <v>896</v>
      </c>
      <c r="G5" s="1">
        <f t="shared" si="2"/>
        <v>0.70000000000004547</v>
      </c>
    </row>
    <row r="6" spans="1:7" x14ac:dyDescent="0.25">
      <c r="C6">
        <v>41.7</v>
      </c>
      <c r="D6">
        <v>75</v>
      </c>
      <c r="E6">
        <f t="shared" si="0"/>
        <v>3127</v>
      </c>
      <c r="F6">
        <f t="shared" si="1"/>
        <v>3064</v>
      </c>
      <c r="G6" s="1">
        <f t="shared" si="2"/>
        <v>0.4499999999998181</v>
      </c>
    </row>
    <row r="7" spans="1:7" x14ac:dyDescent="0.25">
      <c r="C7">
        <v>39.9</v>
      </c>
      <c r="D7">
        <v>72</v>
      </c>
      <c r="E7">
        <f t="shared" si="0"/>
        <v>2872</v>
      </c>
      <c r="F7">
        <f t="shared" si="1"/>
        <v>2812</v>
      </c>
      <c r="G7" s="1">
        <f t="shared" si="2"/>
        <v>0.15000000000009095</v>
      </c>
    </row>
    <row r="8" spans="1:7" x14ac:dyDescent="0.25">
      <c r="C8">
        <v>41.5</v>
      </c>
      <c r="D8">
        <v>75</v>
      </c>
      <c r="E8">
        <f t="shared" si="0"/>
        <v>3112</v>
      </c>
      <c r="F8">
        <f t="shared" si="1"/>
        <v>3050</v>
      </c>
      <c r="G8" s="1">
        <f t="shared" si="2"/>
        <v>-0.25</v>
      </c>
    </row>
    <row r="9" spans="1:7" x14ac:dyDescent="0.25">
      <c r="B9">
        <v>1</v>
      </c>
      <c r="C9">
        <v>58.4</v>
      </c>
      <c r="D9">
        <v>81</v>
      </c>
      <c r="E9">
        <f t="shared" si="0"/>
        <v>4730</v>
      </c>
      <c r="F9">
        <f t="shared" si="1"/>
        <v>4642</v>
      </c>
      <c r="G9" s="1">
        <f t="shared" si="2"/>
        <v>0.3999999999996362</v>
      </c>
    </row>
    <row r="10" spans="1:7" x14ac:dyDescent="0.25">
      <c r="C10">
        <v>26.5</v>
      </c>
      <c r="D10">
        <v>75</v>
      </c>
      <c r="E10">
        <f t="shared" si="0"/>
        <v>1987</v>
      </c>
      <c r="F10">
        <f t="shared" si="1"/>
        <v>1947</v>
      </c>
      <c r="G10" s="1">
        <f t="shared" si="2"/>
        <v>0.25</v>
      </c>
    </row>
    <row r="11" spans="1:7" x14ac:dyDescent="0.25">
      <c r="B11">
        <v>2</v>
      </c>
      <c r="C11">
        <f>83+84.6</f>
        <v>167.6</v>
      </c>
      <c r="D11">
        <v>82</v>
      </c>
      <c r="E11">
        <f t="shared" ref="E11" si="3">INT(C11*D11)</f>
        <v>13743</v>
      </c>
      <c r="F11">
        <f t="shared" ref="F11" si="4">IF(INT(C11*(D11-1.5)&lt;0),0,INT(C11*(D11-1.5)))</f>
        <v>13491</v>
      </c>
    </row>
    <row r="12" spans="1:7" x14ac:dyDescent="0.25">
      <c r="B12">
        <f>SUM(B3:B11)</f>
        <v>17</v>
      </c>
      <c r="C12">
        <f>SUM(C3:C11)</f>
        <v>1500.1000000000004</v>
      </c>
      <c r="D12">
        <f>SUM(D3:D11)</f>
        <v>691</v>
      </c>
      <c r="E12">
        <f>SUM(E3:E11)</f>
        <v>120426</v>
      </c>
      <c r="F12">
        <f>SUM(F3:F11)</f>
        <v>118173</v>
      </c>
    </row>
    <row r="13" spans="1:7" x14ac:dyDescent="0.25">
      <c r="E13">
        <f t="shared" si="0"/>
        <v>0</v>
      </c>
      <c r="F13">
        <f t="shared" si="1"/>
        <v>0</v>
      </c>
    </row>
    <row r="14" spans="1:7" x14ac:dyDescent="0.25">
      <c r="A14" t="s">
        <v>6</v>
      </c>
      <c r="B14">
        <v>2.5</v>
      </c>
      <c r="C14">
        <f>82.7+78.4+38</f>
        <v>199.10000000000002</v>
      </c>
      <c r="D14">
        <v>85</v>
      </c>
      <c r="E14">
        <f t="shared" si="0"/>
        <v>16923</v>
      </c>
      <c r="F14">
        <f t="shared" si="1"/>
        <v>16624</v>
      </c>
    </row>
    <row r="15" spans="1:7" x14ac:dyDescent="0.25">
      <c r="B15">
        <v>0.5</v>
      </c>
      <c r="C15">
        <v>40.299999999999997</v>
      </c>
      <c r="D15">
        <v>85</v>
      </c>
      <c r="E15">
        <f t="shared" si="0"/>
        <v>3425</v>
      </c>
      <c r="F15">
        <f t="shared" si="1"/>
        <v>3365</v>
      </c>
      <c r="G15" s="1">
        <f t="shared" si="2"/>
        <v>-0.4499999999998181</v>
      </c>
    </row>
    <row r="16" spans="1:7" x14ac:dyDescent="0.25">
      <c r="B16">
        <v>12</v>
      </c>
      <c r="C16">
        <f>81.4+88+85.6+71+78.2+81.3+78+75+83.7+78+78.8+72.2-1-2</f>
        <v>948.2</v>
      </c>
      <c r="D16">
        <v>82</v>
      </c>
      <c r="E16">
        <f t="shared" si="0"/>
        <v>77752</v>
      </c>
      <c r="F16">
        <f t="shared" si="1"/>
        <v>76330</v>
      </c>
      <c r="G16" s="1">
        <f t="shared" si="2"/>
        <v>-0.30000000000291038</v>
      </c>
    </row>
    <row r="17" spans="2:7" x14ac:dyDescent="0.25">
      <c r="B17">
        <v>2.5</v>
      </c>
      <c r="C17">
        <f>75.3+70.7+38.5-1</f>
        <v>183.5</v>
      </c>
      <c r="D17">
        <v>85</v>
      </c>
      <c r="E17">
        <f t="shared" si="0"/>
        <v>15597</v>
      </c>
      <c r="F17">
        <f t="shared" si="1"/>
        <v>15322</v>
      </c>
      <c r="G17" s="1">
        <f t="shared" si="2"/>
        <v>-0.25</v>
      </c>
    </row>
    <row r="18" spans="2:7" x14ac:dyDescent="0.25">
      <c r="B18">
        <v>1</v>
      </c>
      <c r="C18">
        <f>76-0.5</f>
        <v>75.5</v>
      </c>
      <c r="D18">
        <v>85</v>
      </c>
      <c r="E18">
        <f t="shared" si="0"/>
        <v>6417</v>
      </c>
      <c r="F18">
        <f t="shared" si="1"/>
        <v>6304</v>
      </c>
      <c r="G18" s="1">
        <f t="shared" si="2"/>
        <v>-0.25</v>
      </c>
    </row>
    <row r="19" spans="2:7" x14ac:dyDescent="0.25">
      <c r="B19">
        <v>3.5</v>
      </c>
      <c r="C19">
        <f>80.8+79.8+70.8+33.7</f>
        <v>265.09999999999997</v>
      </c>
      <c r="D19">
        <v>85</v>
      </c>
      <c r="E19">
        <f t="shared" si="0"/>
        <v>22533</v>
      </c>
      <c r="F19">
        <f t="shared" si="1"/>
        <v>22135</v>
      </c>
      <c r="G19" s="1">
        <f t="shared" si="2"/>
        <v>0.34999999999854481</v>
      </c>
    </row>
    <row r="20" spans="2:7" x14ac:dyDescent="0.25">
      <c r="B20">
        <v>0.5</v>
      </c>
      <c r="C20">
        <v>40.9</v>
      </c>
      <c r="D20">
        <v>84</v>
      </c>
      <c r="E20">
        <f t="shared" si="0"/>
        <v>3435</v>
      </c>
      <c r="F20">
        <f t="shared" si="1"/>
        <v>3374</v>
      </c>
    </row>
    <row r="21" spans="2:7" x14ac:dyDescent="0.25">
      <c r="C21">
        <v>12.8</v>
      </c>
      <c r="D21">
        <v>78</v>
      </c>
      <c r="E21">
        <f t="shared" si="0"/>
        <v>998</v>
      </c>
      <c r="F21">
        <f t="shared" si="1"/>
        <v>979</v>
      </c>
      <c r="G21" s="1">
        <f t="shared" si="2"/>
        <v>-0.20000000000004547</v>
      </c>
    </row>
    <row r="22" spans="2:7" x14ac:dyDescent="0.25">
      <c r="B22">
        <v>1.5</v>
      </c>
      <c r="C22">
        <f>83.5+28.2</f>
        <v>111.7</v>
      </c>
      <c r="D22">
        <v>84</v>
      </c>
      <c r="E22">
        <f t="shared" si="0"/>
        <v>9382</v>
      </c>
      <c r="F22">
        <f t="shared" si="1"/>
        <v>9215</v>
      </c>
      <c r="G22" s="1">
        <f t="shared" si="2"/>
        <v>-0.5499999999992724</v>
      </c>
    </row>
    <row r="23" spans="2:7" x14ac:dyDescent="0.25">
      <c r="B23">
        <v>0.5</v>
      </c>
      <c r="C23">
        <v>39.1</v>
      </c>
      <c r="D23">
        <v>84</v>
      </c>
      <c r="E23">
        <f t="shared" si="0"/>
        <v>3284</v>
      </c>
      <c r="F23">
        <f t="shared" si="1"/>
        <v>3225</v>
      </c>
      <c r="G23" s="1">
        <f t="shared" si="2"/>
        <v>0.34999999999990905</v>
      </c>
    </row>
    <row r="24" spans="2:7" x14ac:dyDescent="0.25">
      <c r="B24">
        <v>0.5</v>
      </c>
      <c r="C24">
        <f>33.1-0.5</f>
        <v>32.6</v>
      </c>
      <c r="D24">
        <v>87</v>
      </c>
      <c r="E24">
        <f t="shared" si="0"/>
        <v>2836</v>
      </c>
      <c r="F24">
        <f t="shared" si="1"/>
        <v>2787</v>
      </c>
      <c r="G24" s="1">
        <f t="shared" si="2"/>
        <v>9.9999999999909051E-2</v>
      </c>
    </row>
    <row r="25" spans="2:7" x14ac:dyDescent="0.25">
      <c r="C25">
        <v>12.7</v>
      </c>
      <c r="D25">
        <v>79</v>
      </c>
      <c r="E25">
        <f t="shared" si="0"/>
        <v>1003</v>
      </c>
      <c r="F25">
        <f t="shared" si="1"/>
        <v>984</v>
      </c>
      <c r="G25" s="1">
        <f t="shared" si="2"/>
        <v>-4.9999999999954525E-2</v>
      </c>
    </row>
    <row r="26" spans="2:7" x14ac:dyDescent="0.25">
      <c r="B26">
        <v>1.5</v>
      </c>
      <c r="C26">
        <f>89.9+45.4</f>
        <v>135.30000000000001</v>
      </c>
      <c r="D26">
        <v>83</v>
      </c>
      <c r="E26">
        <f t="shared" si="0"/>
        <v>11229</v>
      </c>
      <c r="F26">
        <f t="shared" si="1"/>
        <v>11026</v>
      </c>
      <c r="G26" s="1">
        <f t="shared" si="2"/>
        <v>4.9999999999272404E-2</v>
      </c>
    </row>
    <row r="27" spans="2:7" x14ac:dyDescent="0.25">
      <c r="B27">
        <v>7</v>
      </c>
      <c r="C27">
        <f>74.7+72.1+77.2+79.5+71.2+75.2+78.1-1</f>
        <v>527</v>
      </c>
      <c r="D27">
        <v>72.5</v>
      </c>
      <c r="E27">
        <f t="shared" si="0"/>
        <v>38207</v>
      </c>
      <c r="F27">
        <f t="shared" si="1"/>
        <v>37417</v>
      </c>
      <c r="G27" s="1">
        <f t="shared" si="2"/>
        <v>-0.5</v>
      </c>
    </row>
    <row r="28" spans="2:7" x14ac:dyDescent="0.25">
      <c r="B28">
        <v>2</v>
      </c>
      <c r="C28">
        <f>90.3+89</f>
        <v>179.3</v>
      </c>
      <c r="D28">
        <v>84</v>
      </c>
      <c r="E28">
        <f t="shared" si="0"/>
        <v>15061</v>
      </c>
      <c r="F28">
        <f t="shared" si="1"/>
        <v>14792</v>
      </c>
      <c r="G28" s="1">
        <f t="shared" si="2"/>
        <v>4.9999999999272404E-2</v>
      </c>
    </row>
    <row r="29" spans="2:7" x14ac:dyDescent="0.25">
      <c r="B29">
        <v>10</v>
      </c>
      <c r="C29">
        <f>86.9+96.6+100.3+93.5+92.3+97.5+87.9+93.4+100.8+100.6-2</f>
        <v>947.8</v>
      </c>
      <c r="D29">
        <v>78</v>
      </c>
      <c r="E29">
        <f t="shared" si="0"/>
        <v>73928</v>
      </c>
      <c r="F29">
        <f t="shared" si="1"/>
        <v>72506</v>
      </c>
      <c r="G29" s="1">
        <f t="shared" si="2"/>
        <v>0.30000000000291038</v>
      </c>
    </row>
    <row r="30" spans="2:7" x14ac:dyDescent="0.25">
      <c r="B30">
        <v>9</v>
      </c>
      <c r="C30">
        <f>72.9+69.2+79.9+85.4+87.2+81.6+81.5+76.4+72.1-1</f>
        <v>705.2</v>
      </c>
      <c r="D30">
        <v>83</v>
      </c>
      <c r="E30">
        <f t="shared" si="0"/>
        <v>58531</v>
      </c>
      <c r="F30">
        <f t="shared" si="1"/>
        <v>57473</v>
      </c>
      <c r="G30" s="1">
        <f t="shared" si="2"/>
        <v>0.19999999999708962</v>
      </c>
    </row>
    <row r="31" spans="2:7" x14ac:dyDescent="0.25">
      <c r="B31">
        <v>6</v>
      </c>
      <c r="C31">
        <f>74.8+75.8+79.9+76.1+78.9+82.3-1</f>
        <v>466.8</v>
      </c>
      <c r="D31">
        <v>84</v>
      </c>
      <c r="E31">
        <f t="shared" si="0"/>
        <v>39211</v>
      </c>
      <c r="F31">
        <f t="shared" si="1"/>
        <v>38511</v>
      </c>
      <c r="G31" s="1">
        <f t="shared" si="2"/>
        <v>-0.19999999999708962</v>
      </c>
    </row>
    <row r="32" spans="2:7" x14ac:dyDescent="0.25">
      <c r="B32">
        <v>7</v>
      </c>
      <c r="C32">
        <f>88.2+84.9+88.8+93.3+85.4+82.9+84-1-1</f>
        <v>605.5</v>
      </c>
      <c r="D32">
        <v>83</v>
      </c>
      <c r="E32">
        <f t="shared" si="0"/>
        <v>50256</v>
      </c>
      <c r="F32">
        <f t="shared" si="1"/>
        <v>49348</v>
      </c>
      <c r="G32" s="1">
        <f t="shared" si="2"/>
        <v>-0.25</v>
      </c>
    </row>
    <row r="33" spans="2:7" x14ac:dyDescent="0.25">
      <c r="B33">
        <v>0.5</v>
      </c>
      <c r="C33">
        <v>51</v>
      </c>
      <c r="D33">
        <v>85</v>
      </c>
      <c r="E33">
        <f t="shared" si="0"/>
        <v>4335</v>
      </c>
      <c r="F33">
        <f t="shared" si="1"/>
        <v>4258</v>
      </c>
      <c r="G33" s="1">
        <f t="shared" si="2"/>
        <v>0.5</v>
      </c>
    </row>
    <row r="34" spans="2:7" x14ac:dyDescent="0.25">
      <c r="B34">
        <v>1</v>
      </c>
      <c r="C34">
        <v>109.7</v>
      </c>
      <c r="D34">
        <v>85</v>
      </c>
      <c r="E34">
        <f t="shared" si="0"/>
        <v>9324</v>
      </c>
      <c r="F34">
        <f t="shared" si="1"/>
        <v>9159</v>
      </c>
      <c r="G34" s="1">
        <f t="shared" si="2"/>
        <v>0.4500000000007276</v>
      </c>
    </row>
    <row r="35" spans="2:7" x14ac:dyDescent="0.25">
      <c r="B35">
        <v>0.5</v>
      </c>
      <c r="C35">
        <f>55.9-1</f>
        <v>54.9</v>
      </c>
      <c r="D35">
        <v>84</v>
      </c>
      <c r="E35">
        <f t="shared" si="0"/>
        <v>4611</v>
      </c>
      <c r="F35">
        <f t="shared" si="1"/>
        <v>4529</v>
      </c>
      <c r="G35" s="1">
        <f t="shared" si="2"/>
        <v>-0.3500000000003638</v>
      </c>
    </row>
    <row r="36" spans="2:7" x14ac:dyDescent="0.25">
      <c r="B36">
        <v>7.5</v>
      </c>
      <c r="C36">
        <f>102.2+97.5+97.3+101+79.9+89.3+90.9+43.7-1</f>
        <v>700.8</v>
      </c>
      <c r="D36">
        <v>82</v>
      </c>
      <c r="E36">
        <f t="shared" si="0"/>
        <v>57465</v>
      </c>
      <c r="F36">
        <f t="shared" si="1"/>
        <v>56414</v>
      </c>
      <c r="G36" s="1">
        <f t="shared" si="2"/>
        <v>-0.19999999999708962</v>
      </c>
    </row>
    <row r="37" spans="2:7" x14ac:dyDescent="0.25">
      <c r="B37">
        <v>0.5</v>
      </c>
      <c r="C37">
        <v>48</v>
      </c>
      <c r="D37">
        <v>84</v>
      </c>
      <c r="E37">
        <f t="shared" si="0"/>
        <v>4032</v>
      </c>
      <c r="F37">
        <f t="shared" si="1"/>
        <v>3960</v>
      </c>
      <c r="G37" s="1">
        <f t="shared" si="2"/>
        <v>0</v>
      </c>
    </row>
    <row r="38" spans="2:7" x14ac:dyDescent="0.25">
      <c r="B38">
        <v>1</v>
      </c>
      <c r="C38">
        <v>105.6</v>
      </c>
      <c r="D38">
        <v>82</v>
      </c>
      <c r="E38">
        <f t="shared" si="0"/>
        <v>8659</v>
      </c>
      <c r="F38">
        <f t="shared" si="1"/>
        <v>8500</v>
      </c>
      <c r="G38" s="1">
        <f t="shared" si="2"/>
        <v>0.6000000000003638</v>
      </c>
    </row>
    <row r="39" spans="2:7" x14ac:dyDescent="0.25">
      <c r="B39">
        <v>4.5</v>
      </c>
      <c r="C39">
        <f>99.7+85.7+101.9+98.6+50.6-1-1</f>
        <v>434.5</v>
      </c>
      <c r="D39">
        <v>82</v>
      </c>
      <c r="E39">
        <f t="shared" si="0"/>
        <v>35629</v>
      </c>
      <c r="F39">
        <f t="shared" si="1"/>
        <v>34977</v>
      </c>
      <c r="G39" s="1">
        <f t="shared" si="2"/>
        <v>0.25</v>
      </c>
    </row>
    <row r="40" spans="2:7" x14ac:dyDescent="0.25">
      <c r="B40">
        <v>0.5</v>
      </c>
      <c r="C40">
        <v>48.9</v>
      </c>
      <c r="D40">
        <v>79</v>
      </c>
      <c r="E40">
        <f t="shared" si="0"/>
        <v>3863</v>
      </c>
      <c r="F40">
        <f t="shared" si="1"/>
        <v>3789</v>
      </c>
      <c r="G40" s="1">
        <f t="shared" si="2"/>
        <v>0.65000000000009095</v>
      </c>
    </row>
    <row r="41" spans="2:7" x14ac:dyDescent="0.25">
      <c r="B41">
        <v>0.5</v>
      </c>
      <c r="C41">
        <v>32.799999999999997</v>
      </c>
      <c r="D41">
        <v>84</v>
      </c>
      <c r="E41">
        <f t="shared" si="0"/>
        <v>2755</v>
      </c>
      <c r="F41">
        <f t="shared" si="1"/>
        <v>2706</v>
      </c>
      <c r="G41" s="1">
        <f t="shared" si="2"/>
        <v>-0.1999999999998181</v>
      </c>
    </row>
    <row r="42" spans="2:7" x14ac:dyDescent="0.25">
      <c r="B42">
        <v>0.5</v>
      </c>
      <c r="C42">
        <v>50.2</v>
      </c>
      <c r="D42">
        <v>83</v>
      </c>
      <c r="E42">
        <f t="shared" si="0"/>
        <v>4166</v>
      </c>
      <c r="F42">
        <f t="shared" si="1"/>
        <v>4091</v>
      </c>
      <c r="G42" s="1">
        <f t="shared" si="2"/>
        <v>-0.3000000000001819</v>
      </c>
    </row>
    <row r="43" spans="2:7" x14ac:dyDescent="0.25">
      <c r="B43">
        <v>1</v>
      </c>
      <c r="C43">
        <v>103</v>
      </c>
      <c r="D43">
        <v>79</v>
      </c>
      <c r="E43">
        <f t="shared" si="0"/>
        <v>8137</v>
      </c>
      <c r="F43">
        <f t="shared" si="1"/>
        <v>7982</v>
      </c>
      <c r="G43" s="1">
        <f t="shared" si="2"/>
        <v>0.5</v>
      </c>
    </row>
    <row r="44" spans="2:7" x14ac:dyDescent="0.25">
      <c r="C44">
        <v>14.4</v>
      </c>
      <c r="D44">
        <v>76</v>
      </c>
      <c r="E44">
        <f t="shared" si="0"/>
        <v>1094</v>
      </c>
      <c r="F44">
        <f t="shared" si="1"/>
        <v>1072</v>
      </c>
      <c r="G44" s="1">
        <f t="shared" si="2"/>
        <v>0.40000000000009095</v>
      </c>
    </row>
    <row r="45" spans="2:7" x14ac:dyDescent="0.25">
      <c r="B45">
        <v>1</v>
      </c>
      <c r="C45">
        <v>98</v>
      </c>
      <c r="D45">
        <v>82</v>
      </c>
      <c r="E45">
        <f t="shared" si="0"/>
        <v>8036</v>
      </c>
      <c r="F45">
        <f t="shared" si="1"/>
        <v>7889</v>
      </c>
      <c r="G45" s="1">
        <f t="shared" si="2"/>
        <v>0</v>
      </c>
    </row>
    <row r="46" spans="2:7" x14ac:dyDescent="0.25">
      <c r="B46">
        <v>1</v>
      </c>
      <c r="C46">
        <v>88.6</v>
      </c>
      <c r="D46">
        <v>80</v>
      </c>
      <c r="E46">
        <f t="shared" si="0"/>
        <v>7088</v>
      </c>
      <c r="F46">
        <f t="shared" si="1"/>
        <v>6955</v>
      </c>
      <c r="G46" s="1">
        <f t="shared" si="2"/>
        <v>0.1000000000003638</v>
      </c>
    </row>
    <row r="47" spans="2:7" ht="21.75" customHeight="1" x14ac:dyDescent="0.25">
      <c r="C47">
        <v>29.7</v>
      </c>
      <c r="D47">
        <v>75</v>
      </c>
      <c r="E47">
        <f t="shared" si="0"/>
        <v>2227</v>
      </c>
      <c r="F47">
        <f t="shared" si="1"/>
        <v>2182</v>
      </c>
      <c r="G47" s="1">
        <f t="shared" si="2"/>
        <v>0.4499999999998181</v>
      </c>
    </row>
    <row r="48" spans="2:7" x14ac:dyDescent="0.25">
      <c r="B48">
        <v>0.5</v>
      </c>
      <c r="C48">
        <v>48.8</v>
      </c>
      <c r="D48">
        <v>80</v>
      </c>
      <c r="E48">
        <f t="shared" si="0"/>
        <v>3904</v>
      </c>
      <c r="F48">
        <f t="shared" si="1"/>
        <v>3830</v>
      </c>
      <c r="G48" s="1">
        <f t="shared" si="2"/>
        <v>0.8000000000001819</v>
      </c>
    </row>
    <row r="49" spans="2:7" x14ac:dyDescent="0.25">
      <c r="B49">
        <v>6</v>
      </c>
      <c r="C49">
        <f>106+94.9+103+87.2+99.1+102.8-1</f>
        <v>591.99999999999989</v>
      </c>
      <c r="D49">
        <v>80</v>
      </c>
      <c r="E49">
        <f t="shared" si="0"/>
        <v>47360</v>
      </c>
      <c r="F49">
        <f t="shared" si="1"/>
        <v>46472</v>
      </c>
      <c r="G49" s="1">
        <f t="shared" si="2"/>
        <v>0</v>
      </c>
    </row>
    <row r="50" spans="2:7" x14ac:dyDescent="0.25">
      <c r="B50">
        <v>0.5</v>
      </c>
      <c r="C50">
        <f>35.2-0.3</f>
        <v>34.900000000000006</v>
      </c>
      <c r="D50">
        <v>81</v>
      </c>
      <c r="E50">
        <f t="shared" si="0"/>
        <v>2826</v>
      </c>
      <c r="F50">
        <f t="shared" si="1"/>
        <v>2774</v>
      </c>
      <c r="G50" s="1">
        <f t="shared" si="2"/>
        <v>-0.34999999999990905</v>
      </c>
    </row>
    <row r="51" spans="2:7" x14ac:dyDescent="0.25">
      <c r="C51">
        <v>14.6</v>
      </c>
      <c r="D51">
        <v>76</v>
      </c>
      <c r="E51">
        <f t="shared" si="0"/>
        <v>1109</v>
      </c>
      <c r="F51">
        <f t="shared" si="1"/>
        <v>1087</v>
      </c>
      <c r="G51" s="1">
        <f t="shared" si="2"/>
        <v>9.9999999999909051E-2</v>
      </c>
    </row>
    <row r="52" spans="2:7" x14ac:dyDescent="0.25">
      <c r="B52">
        <v>2.5</v>
      </c>
      <c r="C52">
        <f>110.5+105.2+51.3</f>
        <v>267</v>
      </c>
      <c r="D52">
        <v>75</v>
      </c>
      <c r="E52">
        <f t="shared" si="0"/>
        <v>20025</v>
      </c>
      <c r="F52">
        <f t="shared" si="1"/>
        <v>19624</v>
      </c>
      <c r="G52" s="1">
        <f t="shared" si="2"/>
        <v>0.5</v>
      </c>
    </row>
    <row r="53" spans="2:7" x14ac:dyDescent="0.25">
      <c r="B53">
        <f>SUM(B14:B52)</f>
        <v>97</v>
      </c>
      <c r="C53">
        <f>SUM(C14:C52)</f>
        <v>8455.7999999999993</v>
      </c>
      <c r="D53">
        <f>SUM(D14:D52)</f>
        <v>3184.5</v>
      </c>
      <c r="E53">
        <f>SUM(E14:E52)</f>
        <v>686653</v>
      </c>
      <c r="F53">
        <f>SUM(F14:F52)</f>
        <v>673967</v>
      </c>
      <c r="G53" s="1">
        <f t="shared" si="2"/>
        <v>2.3000000000465661</v>
      </c>
    </row>
    <row r="54" spans="2:7" x14ac:dyDescent="0.25">
      <c r="E54">
        <f t="shared" si="0"/>
        <v>0</v>
      </c>
      <c r="F54">
        <f t="shared" si="1"/>
        <v>0</v>
      </c>
      <c r="G54" s="1">
        <f t="shared" si="2"/>
        <v>0</v>
      </c>
    </row>
    <row r="55" spans="2:7" x14ac:dyDescent="0.25">
      <c r="E55">
        <f t="shared" si="0"/>
        <v>0</v>
      </c>
      <c r="F55">
        <f t="shared" si="1"/>
        <v>0</v>
      </c>
      <c r="G55" s="1">
        <f t="shared" si="2"/>
        <v>0</v>
      </c>
    </row>
    <row r="56" spans="2:7" x14ac:dyDescent="0.25">
      <c r="E56">
        <f t="shared" si="0"/>
        <v>0</v>
      </c>
      <c r="F56">
        <f t="shared" si="1"/>
        <v>0</v>
      </c>
      <c r="G56" s="1">
        <f t="shared" si="2"/>
        <v>0</v>
      </c>
    </row>
    <row r="57" spans="2:7" x14ac:dyDescent="0.25">
      <c r="E57">
        <f t="shared" si="0"/>
        <v>0</v>
      </c>
      <c r="F57">
        <f t="shared" si="1"/>
        <v>0</v>
      </c>
      <c r="G57" s="1">
        <f t="shared" si="2"/>
        <v>0</v>
      </c>
    </row>
    <row r="58" spans="2:7" x14ac:dyDescent="0.25">
      <c r="E58">
        <f t="shared" si="0"/>
        <v>0</v>
      </c>
      <c r="F58">
        <f t="shared" si="1"/>
        <v>0</v>
      </c>
      <c r="G58" s="1">
        <f t="shared" si="2"/>
        <v>0</v>
      </c>
    </row>
    <row r="59" spans="2:7" x14ac:dyDescent="0.25">
      <c r="E59">
        <f t="shared" si="0"/>
        <v>0</v>
      </c>
      <c r="F59">
        <f t="shared" si="1"/>
        <v>0</v>
      </c>
      <c r="G59" s="1">
        <f t="shared" si="2"/>
        <v>0</v>
      </c>
    </row>
    <row r="60" spans="2:7" x14ac:dyDescent="0.25">
      <c r="E60">
        <f t="shared" si="0"/>
        <v>0</v>
      </c>
      <c r="F60">
        <f t="shared" si="1"/>
        <v>0</v>
      </c>
      <c r="G60" s="1">
        <f t="shared" si="2"/>
        <v>0</v>
      </c>
    </row>
    <row r="61" spans="2:7" x14ac:dyDescent="0.25">
      <c r="E61">
        <f t="shared" ref="E3:E71" si="5">INT(C61*D61)</f>
        <v>0</v>
      </c>
      <c r="F61">
        <f t="shared" ref="F3:F71" si="6">IF(INT(C61*(D61-1.5)&lt;0),0,INT(C61*(D61-1.5)))</f>
        <v>0</v>
      </c>
      <c r="G61" s="1">
        <f t="shared" si="2"/>
        <v>0</v>
      </c>
    </row>
    <row r="62" spans="2:7" x14ac:dyDescent="0.25">
      <c r="E62">
        <f t="shared" si="5"/>
        <v>0</v>
      </c>
      <c r="F62">
        <f t="shared" si="6"/>
        <v>0</v>
      </c>
      <c r="G62" s="1">
        <f t="shared" si="2"/>
        <v>0</v>
      </c>
    </row>
    <row r="63" spans="2:7" x14ac:dyDescent="0.25">
      <c r="E63">
        <f t="shared" si="5"/>
        <v>0</v>
      </c>
      <c r="F63">
        <f t="shared" si="6"/>
        <v>0</v>
      </c>
      <c r="G63" s="1">
        <f t="shared" si="2"/>
        <v>0</v>
      </c>
    </row>
    <row r="64" spans="2:7" x14ac:dyDescent="0.25">
      <c r="E64">
        <f t="shared" si="5"/>
        <v>0</v>
      </c>
      <c r="F64">
        <f t="shared" si="6"/>
        <v>0</v>
      </c>
      <c r="G64" s="1">
        <f t="shared" si="2"/>
        <v>0</v>
      </c>
    </row>
    <row r="65" spans="5:7" x14ac:dyDescent="0.25">
      <c r="E65">
        <f t="shared" si="5"/>
        <v>0</v>
      </c>
      <c r="F65">
        <f t="shared" si="6"/>
        <v>0</v>
      </c>
      <c r="G65" s="1">
        <f t="shared" si="2"/>
        <v>0</v>
      </c>
    </row>
    <row r="66" spans="5:7" x14ac:dyDescent="0.25">
      <c r="E66">
        <f t="shared" si="5"/>
        <v>0</v>
      </c>
      <c r="F66">
        <f t="shared" si="6"/>
        <v>0</v>
      </c>
      <c r="G66" s="1">
        <f t="shared" si="2"/>
        <v>0</v>
      </c>
    </row>
    <row r="67" spans="5:7" x14ac:dyDescent="0.25">
      <c r="E67">
        <f t="shared" si="5"/>
        <v>0</v>
      </c>
      <c r="F67">
        <f t="shared" si="6"/>
        <v>0</v>
      </c>
      <c r="G67" s="1">
        <f t="shared" si="2"/>
        <v>0</v>
      </c>
    </row>
    <row r="68" spans="5:7" x14ac:dyDescent="0.25">
      <c r="E68">
        <f t="shared" si="5"/>
        <v>0</v>
      </c>
      <c r="F68">
        <f t="shared" si="6"/>
        <v>0</v>
      </c>
      <c r="G68" s="1">
        <f t="shared" si="2"/>
        <v>0</v>
      </c>
    </row>
    <row r="69" spans="5:7" x14ac:dyDescent="0.25">
      <c r="E69">
        <f t="shared" si="5"/>
        <v>0</v>
      </c>
      <c r="F69">
        <f t="shared" si="6"/>
        <v>0</v>
      </c>
      <c r="G69" s="1">
        <f t="shared" si="2"/>
        <v>0</v>
      </c>
    </row>
    <row r="70" spans="5:7" x14ac:dyDescent="0.25">
      <c r="E70">
        <f t="shared" si="5"/>
        <v>0</v>
      </c>
      <c r="F70">
        <f t="shared" si="6"/>
        <v>0</v>
      </c>
      <c r="G70" s="1">
        <f t="shared" si="2"/>
        <v>0</v>
      </c>
    </row>
    <row r="71" spans="5:7" x14ac:dyDescent="0.25">
      <c r="E71">
        <f t="shared" si="5"/>
        <v>0</v>
      </c>
      <c r="F71">
        <f t="shared" si="6"/>
        <v>0</v>
      </c>
      <c r="G71" s="1">
        <f t="shared" si="2"/>
        <v>0</v>
      </c>
    </row>
    <row r="72" spans="5:7" x14ac:dyDescent="0.25">
      <c r="E72">
        <f t="shared" ref="E72:E135" si="7">INT(C72*D72)</f>
        <v>0</v>
      </c>
      <c r="F72">
        <f t="shared" ref="F72:F135" si="8">IF(INT(C72*(D72-1.5)&lt;0),0,INT(C72*(D72-1.5)))</f>
        <v>0</v>
      </c>
      <c r="G72" s="1">
        <f t="shared" si="2"/>
        <v>0</v>
      </c>
    </row>
    <row r="73" spans="5:7" x14ac:dyDescent="0.25">
      <c r="E73">
        <f t="shared" si="7"/>
        <v>0</v>
      </c>
      <c r="F73">
        <f t="shared" si="8"/>
        <v>0</v>
      </c>
      <c r="G73" s="1">
        <f t="shared" si="2"/>
        <v>0</v>
      </c>
    </row>
    <row r="74" spans="5:7" x14ac:dyDescent="0.25">
      <c r="E74">
        <f t="shared" si="7"/>
        <v>0</v>
      </c>
      <c r="F74">
        <f t="shared" si="8"/>
        <v>0</v>
      </c>
      <c r="G74" s="1">
        <f t="shared" si="2"/>
        <v>0</v>
      </c>
    </row>
    <row r="75" spans="5:7" x14ac:dyDescent="0.25">
      <c r="E75">
        <f t="shared" si="7"/>
        <v>0</v>
      </c>
      <c r="F75">
        <f t="shared" si="8"/>
        <v>0</v>
      </c>
      <c r="G75" s="1">
        <f t="shared" ref="G75:G138" si="9">E75-(C75*1.5)-F75</f>
        <v>0</v>
      </c>
    </row>
    <row r="76" spans="5:7" x14ac:dyDescent="0.25">
      <c r="E76">
        <f t="shared" si="7"/>
        <v>0</v>
      </c>
      <c r="F76">
        <f t="shared" si="8"/>
        <v>0</v>
      </c>
      <c r="G76" s="1">
        <f t="shared" si="9"/>
        <v>0</v>
      </c>
    </row>
    <row r="77" spans="5:7" x14ac:dyDescent="0.25">
      <c r="E77">
        <f t="shared" si="7"/>
        <v>0</v>
      </c>
      <c r="F77">
        <f t="shared" si="8"/>
        <v>0</v>
      </c>
      <c r="G77" s="1">
        <f t="shared" si="9"/>
        <v>0</v>
      </c>
    </row>
    <row r="78" spans="5:7" x14ac:dyDescent="0.25">
      <c r="E78">
        <f t="shared" si="7"/>
        <v>0</v>
      </c>
      <c r="F78">
        <f t="shared" si="8"/>
        <v>0</v>
      </c>
      <c r="G78" s="1">
        <f t="shared" si="9"/>
        <v>0</v>
      </c>
    </row>
    <row r="79" spans="5:7" x14ac:dyDescent="0.25">
      <c r="E79">
        <f t="shared" si="7"/>
        <v>0</v>
      </c>
      <c r="F79">
        <f t="shared" si="8"/>
        <v>0</v>
      </c>
      <c r="G79" s="1">
        <f t="shared" si="9"/>
        <v>0</v>
      </c>
    </row>
    <row r="80" spans="5:7" x14ac:dyDescent="0.25">
      <c r="E80">
        <f t="shared" si="7"/>
        <v>0</v>
      </c>
      <c r="F80">
        <f t="shared" si="8"/>
        <v>0</v>
      </c>
      <c r="G80" s="1">
        <f t="shared" si="9"/>
        <v>0</v>
      </c>
    </row>
    <row r="81" spans="5:7" x14ac:dyDescent="0.25">
      <c r="E81">
        <f t="shared" si="7"/>
        <v>0</v>
      </c>
      <c r="F81">
        <f t="shared" si="8"/>
        <v>0</v>
      </c>
      <c r="G81" s="1">
        <f t="shared" si="9"/>
        <v>0</v>
      </c>
    </row>
    <row r="82" spans="5:7" x14ac:dyDescent="0.25">
      <c r="E82">
        <f t="shared" si="7"/>
        <v>0</v>
      </c>
      <c r="F82">
        <f t="shared" si="8"/>
        <v>0</v>
      </c>
      <c r="G82" s="1">
        <f t="shared" si="9"/>
        <v>0</v>
      </c>
    </row>
    <row r="83" spans="5:7" x14ac:dyDescent="0.25">
      <c r="E83">
        <f t="shared" si="7"/>
        <v>0</v>
      </c>
      <c r="F83">
        <f t="shared" si="8"/>
        <v>0</v>
      </c>
      <c r="G83" s="1">
        <f t="shared" si="9"/>
        <v>0</v>
      </c>
    </row>
    <row r="84" spans="5:7" x14ac:dyDescent="0.25">
      <c r="E84">
        <f t="shared" si="7"/>
        <v>0</v>
      </c>
      <c r="F84">
        <f t="shared" si="8"/>
        <v>0</v>
      </c>
      <c r="G84" s="1">
        <f t="shared" si="9"/>
        <v>0</v>
      </c>
    </row>
    <row r="85" spans="5:7" x14ac:dyDescent="0.25">
      <c r="E85">
        <f t="shared" si="7"/>
        <v>0</v>
      </c>
      <c r="F85">
        <f t="shared" si="8"/>
        <v>0</v>
      </c>
      <c r="G85" s="1">
        <f t="shared" si="9"/>
        <v>0</v>
      </c>
    </row>
    <row r="86" spans="5:7" x14ac:dyDescent="0.25">
      <c r="E86">
        <f t="shared" si="7"/>
        <v>0</v>
      </c>
      <c r="F86">
        <f t="shared" si="8"/>
        <v>0</v>
      </c>
      <c r="G86" s="1">
        <f t="shared" si="9"/>
        <v>0</v>
      </c>
    </row>
    <row r="87" spans="5:7" x14ac:dyDescent="0.25">
      <c r="E87">
        <f t="shared" si="7"/>
        <v>0</v>
      </c>
      <c r="F87">
        <f t="shared" si="8"/>
        <v>0</v>
      </c>
      <c r="G87" s="1">
        <f t="shared" si="9"/>
        <v>0</v>
      </c>
    </row>
    <row r="88" spans="5:7" x14ac:dyDescent="0.25">
      <c r="E88">
        <f t="shared" si="7"/>
        <v>0</v>
      </c>
      <c r="F88">
        <f t="shared" si="8"/>
        <v>0</v>
      </c>
      <c r="G88" s="1">
        <f t="shared" si="9"/>
        <v>0</v>
      </c>
    </row>
    <row r="89" spans="5:7" x14ac:dyDescent="0.25">
      <c r="E89">
        <f t="shared" si="7"/>
        <v>0</v>
      </c>
      <c r="F89">
        <f t="shared" si="8"/>
        <v>0</v>
      </c>
      <c r="G89" s="1">
        <f t="shared" si="9"/>
        <v>0</v>
      </c>
    </row>
    <row r="90" spans="5:7" x14ac:dyDescent="0.25">
      <c r="E90">
        <f t="shared" si="7"/>
        <v>0</v>
      </c>
      <c r="F90">
        <f t="shared" si="8"/>
        <v>0</v>
      </c>
      <c r="G90" s="1">
        <f t="shared" si="9"/>
        <v>0</v>
      </c>
    </row>
    <row r="91" spans="5:7" x14ac:dyDescent="0.25">
      <c r="E91">
        <f t="shared" si="7"/>
        <v>0</v>
      </c>
      <c r="F91">
        <f t="shared" si="8"/>
        <v>0</v>
      </c>
      <c r="G91" s="1">
        <f t="shared" si="9"/>
        <v>0</v>
      </c>
    </row>
    <row r="92" spans="5:7" x14ac:dyDescent="0.25">
      <c r="E92">
        <f t="shared" si="7"/>
        <v>0</v>
      </c>
      <c r="F92">
        <f t="shared" si="8"/>
        <v>0</v>
      </c>
      <c r="G92" s="1">
        <f t="shared" si="9"/>
        <v>0</v>
      </c>
    </row>
    <row r="93" spans="5:7" x14ac:dyDescent="0.25">
      <c r="E93">
        <f t="shared" si="7"/>
        <v>0</v>
      </c>
      <c r="F93">
        <f t="shared" si="8"/>
        <v>0</v>
      </c>
      <c r="G93" s="1">
        <f t="shared" si="9"/>
        <v>0</v>
      </c>
    </row>
    <row r="94" spans="5:7" x14ac:dyDescent="0.25">
      <c r="E94">
        <f t="shared" si="7"/>
        <v>0</v>
      </c>
      <c r="F94">
        <f t="shared" si="8"/>
        <v>0</v>
      </c>
      <c r="G94" s="1">
        <f t="shared" si="9"/>
        <v>0</v>
      </c>
    </row>
    <row r="95" spans="5:7" x14ac:dyDescent="0.25">
      <c r="E95">
        <f t="shared" si="7"/>
        <v>0</v>
      </c>
      <c r="F95">
        <f t="shared" si="8"/>
        <v>0</v>
      </c>
      <c r="G95" s="1">
        <f t="shared" si="9"/>
        <v>0</v>
      </c>
    </row>
    <row r="96" spans="5:7" x14ac:dyDescent="0.25">
      <c r="E96">
        <f t="shared" si="7"/>
        <v>0</v>
      </c>
      <c r="F96">
        <f t="shared" si="8"/>
        <v>0</v>
      </c>
      <c r="G96" s="1">
        <f t="shared" si="9"/>
        <v>0</v>
      </c>
    </row>
    <row r="97" spans="5:7" x14ac:dyDescent="0.25">
      <c r="E97">
        <f t="shared" si="7"/>
        <v>0</v>
      </c>
      <c r="F97">
        <f t="shared" si="8"/>
        <v>0</v>
      </c>
      <c r="G97" s="1">
        <f t="shared" si="9"/>
        <v>0</v>
      </c>
    </row>
    <row r="98" spans="5:7" x14ac:dyDescent="0.25">
      <c r="E98">
        <f t="shared" si="7"/>
        <v>0</v>
      </c>
      <c r="F98">
        <f t="shared" si="8"/>
        <v>0</v>
      </c>
      <c r="G98" s="1">
        <f t="shared" si="9"/>
        <v>0</v>
      </c>
    </row>
    <row r="99" spans="5:7" x14ac:dyDescent="0.25">
      <c r="E99">
        <f t="shared" si="7"/>
        <v>0</v>
      </c>
      <c r="F99">
        <f t="shared" si="8"/>
        <v>0</v>
      </c>
      <c r="G99" s="1">
        <f t="shared" si="9"/>
        <v>0</v>
      </c>
    </row>
    <row r="100" spans="5:7" x14ac:dyDescent="0.25">
      <c r="E100">
        <f t="shared" si="7"/>
        <v>0</v>
      </c>
      <c r="F100">
        <f t="shared" si="8"/>
        <v>0</v>
      </c>
      <c r="G100" s="1">
        <f t="shared" si="9"/>
        <v>0</v>
      </c>
    </row>
    <row r="101" spans="5:7" x14ac:dyDescent="0.25">
      <c r="E101">
        <f t="shared" si="7"/>
        <v>0</v>
      </c>
      <c r="F101">
        <f t="shared" si="8"/>
        <v>0</v>
      </c>
      <c r="G101" s="1">
        <f t="shared" si="9"/>
        <v>0</v>
      </c>
    </row>
    <row r="102" spans="5:7" x14ac:dyDescent="0.25">
      <c r="E102">
        <f t="shared" si="7"/>
        <v>0</v>
      </c>
      <c r="F102">
        <f t="shared" si="8"/>
        <v>0</v>
      </c>
      <c r="G102" s="1">
        <f t="shared" si="9"/>
        <v>0</v>
      </c>
    </row>
    <row r="103" spans="5:7" x14ac:dyDescent="0.25">
      <c r="E103">
        <f t="shared" si="7"/>
        <v>0</v>
      </c>
      <c r="F103">
        <f t="shared" si="8"/>
        <v>0</v>
      </c>
      <c r="G103" s="1">
        <f t="shared" si="9"/>
        <v>0</v>
      </c>
    </row>
    <row r="104" spans="5:7" x14ac:dyDescent="0.25">
      <c r="E104">
        <f t="shared" si="7"/>
        <v>0</v>
      </c>
      <c r="F104">
        <f t="shared" si="8"/>
        <v>0</v>
      </c>
      <c r="G104" s="1">
        <f t="shared" si="9"/>
        <v>0</v>
      </c>
    </row>
    <row r="105" spans="5:7" x14ac:dyDescent="0.25">
      <c r="E105">
        <f t="shared" si="7"/>
        <v>0</v>
      </c>
      <c r="F105">
        <f t="shared" si="8"/>
        <v>0</v>
      </c>
      <c r="G105" s="1">
        <f t="shared" si="9"/>
        <v>0</v>
      </c>
    </row>
    <row r="106" spans="5:7" x14ac:dyDescent="0.25">
      <c r="E106">
        <f t="shared" si="7"/>
        <v>0</v>
      </c>
      <c r="F106">
        <f t="shared" si="8"/>
        <v>0</v>
      </c>
      <c r="G106" s="1">
        <f t="shared" si="9"/>
        <v>0</v>
      </c>
    </row>
    <row r="107" spans="5:7" x14ac:dyDescent="0.25">
      <c r="E107">
        <f t="shared" si="7"/>
        <v>0</v>
      </c>
      <c r="F107">
        <f t="shared" si="8"/>
        <v>0</v>
      </c>
      <c r="G107" s="1">
        <f t="shared" si="9"/>
        <v>0</v>
      </c>
    </row>
    <row r="108" spans="5:7" x14ac:dyDescent="0.25">
      <c r="E108">
        <f t="shared" si="7"/>
        <v>0</v>
      </c>
      <c r="F108">
        <f t="shared" si="8"/>
        <v>0</v>
      </c>
      <c r="G108" s="1">
        <f t="shared" si="9"/>
        <v>0</v>
      </c>
    </row>
    <row r="109" spans="5:7" x14ac:dyDescent="0.25">
      <c r="E109">
        <f t="shared" si="7"/>
        <v>0</v>
      </c>
      <c r="F109">
        <f t="shared" si="8"/>
        <v>0</v>
      </c>
      <c r="G109" s="1">
        <f t="shared" si="9"/>
        <v>0</v>
      </c>
    </row>
    <row r="110" spans="5:7" x14ac:dyDescent="0.25">
      <c r="E110">
        <f t="shared" si="7"/>
        <v>0</v>
      </c>
      <c r="F110">
        <f t="shared" si="8"/>
        <v>0</v>
      </c>
      <c r="G110" s="1">
        <f t="shared" si="9"/>
        <v>0</v>
      </c>
    </row>
    <row r="111" spans="5:7" x14ac:dyDescent="0.25">
      <c r="E111">
        <f t="shared" si="7"/>
        <v>0</v>
      </c>
      <c r="F111">
        <f t="shared" si="8"/>
        <v>0</v>
      </c>
      <c r="G111" s="1">
        <f t="shared" si="9"/>
        <v>0</v>
      </c>
    </row>
    <row r="112" spans="5:7" x14ac:dyDescent="0.25">
      <c r="E112">
        <f t="shared" si="7"/>
        <v>0</v>
      </c>
      <c r="F112">
        <f t="shared" si="8"/>
        <v>0</v>
      </c>
      <c r="G112" s="1">
        <f t="shared" si="9"/>
        <v>0</v>
      </c>
    </row>
    <row r="113" spans="5:7" x14ac:dyDescent="0.25">
      <c r="E113">
        <f t="shared" si="7"/>
        <v>0</v>
      </c>
      <c r="F113">
        <f t="shared" si="8"/>
        <v>0</v>
      </c>
      <c r="G113" s="1">
        <f t="shared" si="9"/>
        <v>0</v>
      </c>
    </row>
    <row r="114" spans="5:7" x14ac:dyDescent="0.25">
      <c r="E114">
        <f t="shared" si="7"/>
        <v>0</v>
      </c>
      <c r="F114">
        <f t="shared" si="8"/>
        <v>0</v>
      </c>
      <c r="G114" s="1">
        <f t="shared" si="9"/>
        <v>0</v>
      </c>
    </row>
    <row r="115" spans="5:7" x14ac:dyDescent="0.25">
      <c r="E115">
        <f t="shared" si="7"/>
        <v>0</v>
      </c>
      <c r="F115">
        <f t="shared" si="8"/>
        <v>0</v>
      </c>
      <c r="G115" s="1">
        <f t="shared" si="9"/>
        <v>0</v>
      </c>
    </row>
    <row r="116" spans="5:7" x14ac:dyDescent="0.25">
      <c r="E116">
        <f t="shared" si="7"/>
        <v>0</v>
      </c>
      <c r="F116">
        <f t="shared" si="8"/>
        <v>0</v>
      </c>
      <c r="G116" s="1">
        <f t="shared" si="9"/>
        <v>0</v>
      </c>
    </row>
    <row r="117" spans="5:7" x14ac:dyDescent="0.25">
      <c r="E117">
        <f t="shared" si="7"/>
        <v>0</v>
      </c>
      <c r="F117">
        <f t="shared" si="8"/>
        <v>0</v>
      </c>
      <c r="G117" s="1">
        <f t="shared" si="9"/>
        <v>0</v>
      </c>
    </row>
    <row r="118" spans="5:7" x14ac:dyDescent="0.25">
      <c r="E118">
        <f t="shared" si="7"/>
        <v>0</v>
      </c>
      <c r="F118">
        <f t="shared" si="8"/>
        <v>0</v>
      </c>
      <c r="G118" s="1">
        <f t="shared" si="9"/>
        <v>0</v>
      </c>
    </row>
    <row r="119" spans="5:7" x14ac:dyDescent="0.25">
      <c r="E119">
        <f t="shared" si="7"/>
        <v>0</v>
      </c>
      <c r="F119">
        <f t="shared" si="8"/>
        <v>0</v>
      </c>
      <c r="G119" s="1">
        <f t="shared" si="9"/>
        <v>0</v>
      </c>
    </row>
    <row r="120" spans="5:7" x14ac:dyDescent="0.25">
      <c r="E120">
        <f t="shared" si="7"/>
        <v>0</v>
      </c>
      <c r="F120">
        <f t="shared" si="8"/>
        <v>0</v>
      </c>
      <c r="G120" s="1">
        <f t="shared" si="9"/>
        <v>0</v>
      </c>
    </row>
    <row r="121" spans="5:7" x14ac:dyDescent="0.25">
      <c r="E121">
        <f t="shared" si="7"/>
        <v>0</v>
      </c>
      <c r="F121">
        <f t="shared" si="8"/>
        <v>0</v>
      </c>
      <c r="G121" s="1">
        <f t="shared" si="9"/>
        <v>0</v>
      </c>
    </row>
    <row r="122" spans="5:7" x14ac:dyDescent="0.25">
      <c r="E122">
        <f t="shared" si="7"/>
        <v>0</v>
      </c>
      <c r="F122">
        <f t="shared" si="8"/>
        <v>0</v>
      </c>
      <c r="G122" s="1">
        <f t="shared" si="9"/>
        <v>0</v>
      </c>
    </row>
    <row r="123" spans="5:7" x14ac:dyDescent="0.25">
      <c r="E123">
        <f t="shared" si="7"/>
        <v>0</v>
      </c>
      <c r="F123">
        <f t="shared" si="8"/>
        <v>0</v>
      </c>
      <c r="G123" s="1">
        <f t="shared" si="9"/>
        <v>0</v>
      </c>
    </row>
    <row r="124" spans="5:7" x14ac:dyDescent="0.25">
      <c r="E124">
        <f t="shared" si="7"/>
        <v>0</v>
      </c>
      <c r="F124">
        <f t="shared" si="8"/>
        <v>0</v>
      </c>
      <c r="G124" s="1">
        <f t="shared" si="9"/>
        <v>0</v>
      </c>
    </row>
    <row r="125" spans="5:7" x14ac:dyDescent="0.25">
      <c r="E125">
        <f t="shared" si="7"/>
        <v>0</v>
      </c>
      <c r="F125">
        <f t="shared" si="8"/>
        <v>0</v>
      </c>
      <c r="G125" s="1">
        <f t="shared" si="9"/>
        <v>0</v>
      </c>
    </row>
    <row r="126" spans="5:7" x14ac:dyDescent="0.25">
      <c r="E126">
        <f t="shared" si="7"/>
        <v>0</v>
      </c>
      <c r="F126">
        <f t="shared" si="8"/>
        <v>0</v>
      </c>
      <c r="G126" s="1">
        <f t="shared" si="9"/>
        <v>0</v>
      </c>
    </row>
    <row r="127" spans="5:7" x14ac:dyDescent="0.25">
      <c r="E127">
        <f t="shared" si="7"/>
        <v>0</v>
      </c>
      <c r="F127">
        <f t="shared" si="8"/>
        <v>0</v>
      </c>
      <c r="G127" s="1">
        <f t="shared" si="9"/>
        <v>0</v>
      </c>
    </row>
    <row r="128" spans="5:7" x14ac:dyDescent="0.25">
      <c r="E128">
        <f t="shared" si="7"/>
        <v>0</v>
      </c>
      <c r="F128">
        <f t="shared" si="8"/>
        <v>0</v>
      </c>
      <c r="G128" s="1">
        <f t="shared" si="9"/>
        <v>0</v>
      </c>
    </row>
    <row r="129" spans="5:7" x14ac:dyDescent="0.25">
      <c r="E129">
        <f t="shared" si="7"/>
        <v>0</v>
      </c>
      <c r="F129">
        <f t="shared" si="8"/>
        <v>0</v>
      </c>
      <c r="G129" s="1">
        <f t="shared" si="9"/>
        <v>0</v>
      </c>
    </row>
    <row r="130" spans="5:7" x14ac:dyDescent="0.25">
      <c r="E130">
        <f t="shared" si="7"/>
        <v>0</v>
      </c>
      <c r="F130">
        <f t="shared" si="8"/>
        <v>0</v>
      </c>
      <c r="G130" s="1">
        <f t="shared" si="9"/>
        <v>0</v>
      </c>
    </row>
    <row r="131" spans="5:7" x14ac:dyDescent="0.25">
      <c r="E131">
        <f t="shared" si="7"/>
        <v>0</v>
      </c>
      <c r="F131">
        <f t="shared" si="8"/>
        <v>0</v>
      </c>
      <c r="G131" s="1">
        <f t="shared" si="9"/>
        <v>0</v>
      </c>
    </row>
    <row r="132" spans="5:7" x14ac:dyDescent="0.25">
      <c r="E132">
        <f t="shared" si="7"/>
        <v>0</v>
      </c>
      <c r="F132">
        <f t="shared" si="8"/>
        <v>0</v>
      </c>
      <c r="G132" s="1">
        <f t="shared" si="9"/>
        <v>0</v>
      </c>
    </row>
    <row r="133" spans="5:7" x14ac:dyDescent="0.25">
      <c r="E133">
        <f t="shared" si="7"/>
        <v>0</v>
      </c>
      <c r="F133">
        <f t="shared" si="8"/>
        <v>0</v>
      </c>
      <c r="G133" s="1">
        <f t="shared" si="9"/>
        <v>0</v>
      </c>
    </row>
    <row r="134" spans="5:7" x14ac:dyDescent="0.25">
      <c r="E134">
        <f t="shared" si="7"/>
        <v>0</v>
      </c>
      <c r="F134">
        <f t="shared" si="8"/>
        <v>0</v>
      </c>
      <c r="G134" s="1">
        <f t="shared" si="9"/>
        <v>0</v>
      </c>
    </row>
    <row r="135" spans="5:7" x14ac:dyDescent="0.25">
      <c r="E135">
        <f t="shared" si="7"/>
        <v>0</v>
      </c>
      <c r="F135">
        <f t="shared" si="8"/>
        <v>0</v>
      </c>
      <c r="G135" s="1">
        <f t="shared" si="9"/>
        <v>0</v>
      </c>
    </row>
    <row r="136" spans="5:7" x14ac:dyDescent="0.25">
      <c r="E136">
        <f t="shared" ref="E136:E175" si="10">INT(C136*D136)</f>
        <v>0</v>
      </c>
      <c r="F136">
        <f t="shared" ref="F136:F175" si="11">IF(INT(C136*(D136-1.5)&lt;0),0,INT(C136*(D136-1.5)))</f>
        <v>0</v>
      </c>
      <c r="G136" s="1">
        <f t="shared" si="9"/>
        <v>0</v>
      </c>
    </row>
    <row r="137" spans="5:7" x14ac:dyDescent="0.25">
      <c r="E137">
        <f t="shared" si="10"/>
        <v>0</v>
      </c>
      <c r="F137">
        <f t="shared" si="11"/>
        <v>0</v>
      </c>
      <c r="G137" s="1">
        <f t="shared" si="9"/>
        <v>0</v>
      </c>
    </row>
    <row r="138" spans="5:7" x14ac:dyDescent="0.25">
      <c r="E138">
        <f t="shared" si="10"/>
        <v>0</v>
      </c>
      <c r="F138">
        <f t="shared" si="11"/>
        <v>0</v>
      </c>
      <c r="G138" s="1">
        <f t="shared" si="9"/>
        <v>0</v>
      </c>
    </row>
    <row r="139" spans="5:7" x14ac:dyDescent="0.25">
      <c r="E139">
        <f t="shared" si="10"/>
        <v>0</v>
      </c>
      <c r="F139">
        <f t="shared" si="11"/>
        <v>0</v>
      </c>
      <c r="G139" s="1">
        <f t="shared" ref="G139:G202" si="12">E139-(C139*1.5)-F139</f>
        <v>0</v>
      </c>
    </row>
    <row r="140" spans="5:7" x14ac:dyDescent="0.25">
      <c r="E140">
        <f t="shared" si="10"/>
        <v>0</v>
      </c>
      <c r="F140">
        <f t="shared" si="11"/>
        <v>0</v>
      </c>
      <c r="G140" s="1">
        <f t="shared" si="12"/>
        <v>0</v>
      </c>
    </row>
    <row r="141" spans="5:7" x14ac:dyDescent="0.25">
      <c r="E141">
        <f t="shared" si="10"/>
        <v>0</v>
      </c>
      <c r="F141">
        <f t="shared" si="11"/>
        <v>0</v>
      </c>
      <c r="G141" s="1">
        <f t="shared" si="12"/>
        <v>0</v>
      </c>
    </row>
    <row r="142" spans="5:7" x14ac:dyDescent="0.25">
      <c r="E142">
        <f t="shared" si="10"/>
        <v>0</v>
      </c>
      <c r="F142">
        <f t="shared" si="11"/>
        <v>0</v>
      </c>
      <c r="G142" s="1">
        <f t="shared" si="12"/>
        <v>0</v>
      </c>
    </row>
    <row r="143" spans="5:7" x14ac:dyDescent="0.25">
      <c r="E143">
        <f t="shared" si="10"/>
        <v>0</v>
      </c>
      <c r="F143">
        <f t="shared" si="11"/>
        <v>0</v>
      </c>
      <c r="G143" s="1">
        <f t="shared" si="12"/>
        <v>0</v>
      </c>
    </row>
    <row r="144" spans="5:7" x14ac:dyDescent="0.25">
      <c r="E144">
        <f t="shared" si="10"/>
        <v>0</v>
      </c>
      <c r="F144">
        <f t="shared" si="11"/>
        <v>0</v>
      </c>
      <c r="G144" s="1">
        <f t="shared" si="12"/>
        <v>0</v>
      </c>
    </row>
    <row r="145" spans="5:7" x14ac:dyDescent="0.25">
      <c r="E145">
        <f t="shared" si="10"/>
        <v>0</v>
      </c>
      <c r="F145">
        <f t="shared" si="11"/>
        <v>0</v>
      </c>
      <c r="G145" s="1">
        <f t="shared" si="12"/>
        <v>0</v>
      </c>
    </row>
    <row r="146" spans="5:7" x14ac:dyDescent="0.25">
      <c r="E146">
        <f t="shared" si="10"/>
        <v>0</v>
      </c>
      <c r="F146">
        <f t="shared" si="11"/>
        <v>0</v>
      </c>
      <c r="G146" s="1">
        <f t="shared" si="12"/>
        <v>0</v>
      </c>
    </row>
    <row r="147" spans="5:7" x14ac:dyDescent="0.25">
      <c r="E147">
        <f t="shared" si="10"/>
        <v>0</v>
      </c>
      <c r="F147">
        <f t="shared" si="11"/>
        <v>0</v>
      </c>
      <c r="G147" s="1">
        <f t="shared" si="12"/>
        <v>0</v>
      </c>
    </row>
    <row r="148" spans="5:7" x14ac:dyDescent="0.25">
      <c r="E148">
        <f t="shared" si="10"/>
        <v>0</v>
      </c>
      <c r="F148">
        <f t="shared" si="11"/>
        <v>0</v>
      </c>
      <c r="G148" s="1">
        <f t="shared" si="12"/>
        <v>0</v>
      </c>
    </row>
    <row r="149" spans="5:7" x14ac:dyDescent="0.25">
      <c r="E149">
        <f t="shared" si="10"/>
        <v>0</v>
      </c>
      <c r="F149">
        <f t="shared" si="11"/>
        <v>0</v>
      </c>
      <c r="G149" s="1">
        <f t="shared" si="12"/>
        <v>0</v>
      </c>
    </row>
    <row r="150" spans="5:7" x14ac:dyDescent="0.25">
      <c r="E150">
        <f t="shared" si="10"/>
        <v>0</v>
      </c>
      <c r="F150">
        <f t="shared" si="11"/>
        <v>0</v>
      </c>
      <c r="G150" s="1">
        <f t="shared" si="12"/>
        <v>0</v>
      </c>
    </row>
    <row r="151" spans="5:7" x14ac:dyDescent="0.25">
      <c r="E151">
        <f t="shared" si="10"/>
        <v>0</v>
      </c>
      <c r="F151">
        <f t="shared" si="11"/>
        <v>0</v>
      </c>
      <c r="G151" s="1">
        <f t="shared" si="12"/>
        <v>0</v>
      </c>
    </row>
    <row r="152" spans="5:7" x14ac:dyDescent="0.25">
      <c r="E152">
        <f t="shared" si="10"/>
        <v>0</v>
      </c>
      <c r="F152">
        <f t="shared" si="11"/>
        <v>0</v>
      </c>
      <c r="G152" s="1">
        <f t="shared" si="12"/>
        <v>0</v>
      </c>
    </row>
    <row r="153" spans="5:7" x14ac:dyDescent="0.25">
      <c r="E153">
        <f t="shared" si="10"/>
        <v>0</v>
      </c>
      <c r="F153">
        <f t="shared" si="11"/>
        <v>0</v>
      </c>
      <c r="G153" s="1">
        <f t="shared" si="12"/>
        <v>0</v>
      </c>
    </row>
    <row r="154" spans="5:7" x14ac:dyDescent="0.25">
      <c r="E154">
        <f t="shared" si="10"/>
        <v>0</v>
      </c>
      <c r="F154">
        <f t="shared" si="11"/>
        <v>0</v>
      </c>
      <c r="G154" s="1">
        <f t="shared" si="12"/>
        <v>0</v>
      </c>
    </row>
    <row r="155" spans="5:7" x14ac:dyDescent="0.25">
      <c r="E155">
        <f t="shared" si="10"/>
        <v>0</v>
      </c>
      <c r="F155">
        <f t="shared" si="11"/>
        <v>0</v>
      </c>
      <c r="G155" s="1">
        <f t="shared" si="12"/>
        <v>0</v>
      </c>
    </row>
    <row r="156" spans="5:7" x14ac:dyDescent="0.25">
      <c r="E156">
        <f t="shared" si="10"/>
        <v>0</v>
      </c>
      <c r="F156">
        <f t="shared" si="11"/>
        <v>0</v>
      </c>
      <c r="G156" s="1">
        <f t="shared" si="12"/>
        <v>0</v>
      </c>
    </row>
    <row r="157" spans="5:7" x14ac:dyDescent="0.25">
      <c r="E157">
        <f t="shared" si="10"/>
        <v>0</v>
      </c>
      <c r="F157">
        <f t="shared" si="11"/>
        <v>0</v>
      </c>
      <c r="G157" s="1">
        <f t="shared" si="12"/>
        <v>0</v>
      </c>
    </row>
    <row r="158" spans="5:7" x14ac:dyDescent="0.25">
      <c r="E158">
        <f t="shared" si="10"/>
        <v>0</v>
      </c>
      <c r="F158">
        <f t="shared" si="11"/>
        <v>0</v>
      </c>
      <c r="G158" s="1">
        <f t="shared" si="12"/>
        <v>0</v>
      </c>
    </row>
    <row r="159" spans="5:7" x14ac:dyDescent="0.25">
      <c r="E159">
        <f t="shared" si="10"/>
        <v>0</v>
      </c>
      <c r="F159">
        <f t="shared" si="11"/>
        <v>0</v>
      </c>
      <c r="G159" s="1">
        <f t="shared" si="12"/>
        <v>0</v>
      </c>
    </row>
    <row r="160" spans="5:7" x14ac:dyDescent="0.25">
      <c r="E160">
        <f t="shared" si="10"/>
        <v>0</v>
      </c>
      <c r="F160">
        <f t="shared" si="11"/>
        <v>0</v>
      </c>
      <c r="G160" s="1">
        <f t="shared" si="12"/>
        <v>0</v>
      </c>
    </row>
    <row r="161" spans="5:7" x14ac:dyDescent="0.25">
      <c r="E161">
        <f t="shared" si="10"/>
        <v>0</v>
      </c>
      <c r="F161">
        <f t="shared" si="11"/>
        <v>0</v>
      </c>
      <c r="G161" s="1">
        <f t="shared" si="12"/>
        <v>0</v>
      </c>
    </row>
    <row r="162" spans="5:7" x14ac:dyDescent="0.25">
      <c r="E162">
        <f t="shared" si="10"/>
        <v>0</v>
      </c>
      <c r="F162">
        <f t="shared" si="11"/>
        <v>0</v>
      </c>
      <c r="G162" s="1">
        <f t="shared" si="12"/>
        <v>0</v>
      </c>
    </row>
    <row r="163" spans="5:7" x14ac:dyDescent="0.25">
      <c r="E163">
        <f t="shared" si="10"/>
        <v>0</v>
      </c>
      <c r="F163">
        <f t="shared" si="11"/>
        <v>0</v>
      </c>
      <c r="G163" s="1">
        <f t="shared" si="12"/>
        <v>0</v>
      </c>
    </row>
    <row r="164" spans="5:7" x14ac:dyDescent="0.25">
      <c r="E164">
        <f t="shared" si="10"/>
        <v>0</v>
      </c>
      <c r="F164">
        <f t="shared" si="11"/>
        <v>0</v>
      </c>
      <c r="G164" s="1">
        <f t="shared" si="12"/>
        <v>0</v>
      </c>
    </row>
    <row r="165" spans="5:7" x14ac:dyDescent="0.25">
      <c r="E165">
        <f t="shared" si="10"/>
        <v>0</v>
      </c>
      <c r="F165">
        <f t="shared" si="11"/>
        <v>0</v>
      </c>
      <c r="G165" s="1">
        <f t="shared" si="12"/>
        <v>0</v>
      </c>
    </row>
    <row r="166" spans="5:7" x14ac:dyDescent="0.25">
      <c r="E166">
        <f t="shared" si="10"/>
        <v>0</v>
      </c>
      <c r="F166">
        <f t="shared" si="11"/>
        <v>0</v>
      </c>
      <c r="G166" s="1">
        <f t="shared" si="12"/>
        <v>0</v>
      </c>
    </row>
    <row r="167" spans="5:7" x14ac:dyDescent="0.25">
      <c r="E167">
        <f t="shared" si="10"/>
        <v>0</v>
      </c>
      <c r="F167">
        <f t="shared" si="11"/>
        <v>0</v>
      </c>
      <c r="G167" s="1">
        <f t="shared" si="12"/>
        <v>0</v>
      </c>
    </row>
    <row r="168" spans="5:7" x14ac:dyDescent="0.25">
      <c r="E168">
        <f t="shared" si="10"/>
        <v>0</v>
      </c>
      <c r="F168">
        <f t="shared" si="11"/>
        <v>0</v>
      </c>
      <c r="G168" s="1">
        <f t="shared" si="12"/>
        <v>0</v>
      </c>
    </row>
    <row r="169" spans="5:7" x14ac:dyDescent="0.25">
      <c r="E169">
        <f t="shared" si="10"/>
        <v>0</v>
      </c>
      <c r="F169">
        <f t="shared" si="11"/>
        <v>0</v>
      </c>
      <c r="G169" s="1">
        <f t="shared" si="12"/>
        <v>0</v>
      </c>
    </row>
    <row r="170" spans="5:7" x14ac:dyDescent="0.25">
      <c r="E170">
        <f t="shared" si="10"/>
        <v>0</v>
      </c>
      <c r="F170">
        <f t="shared" si="11"/>
        <v>0</v>
      </c>
      <c r="G170" s="1">
        <f t="shared" si="12"/>
        <v>0</v>
      </c>
    </row>
    <row r="171" spans="5:7" x14ac:dyDescent="0.25">
      <c r="E171">
        <f t="shared" si="10"/>
        <v>0</v>
      </c>
      <c r="F171">
        <f t="shared" si="11"/>
        <v>0</v>
      </c>
      <c r="G171" s="1">
        <f t="shared" si="12"/>
        <v>0</v>
      </c>
    </row>
    <row r="172" spans="5:7" x14ac:dyDescent="0.25">
      <c r="E172">
        <f t="shared" si="10"/>
        <v>0</v>
      </c>
      <c r="F172">
        <f t="shared" si="11"/>
        <v>0</v>
      </c>
      <c r="G172" s="1">
        <f t="shared" si="12"/>
        <v>0</v>
      </c>
    </row>
    <row r="173" spans="5:7" x14ac:dyDescent="0.25">
      <c r="E173">
        <f t="shared" si="10"/>
        <v>0</v>
      </c>
      <c r="F173">
        <f t="shared" si="11"/>
        <v>0</v>
      </c>
      <c r="G173" s="1">
        <f t="shared" si="12"/>
        <v>0</v>
      </c>
    </row>
    <row r="174" spans="5:7" x14ac:dyDescent="0.25">
      <c r="E174">
        <f t="shared" si="10"/>
        <v>0</v>
      </c>
      <c r="F174">
        <f t="shared" si="11"/>
        <v>0</v>
      </c>
      <c r="G174" s="1">
        <f t="shared" si="12"/>
        <v>0</v>
      </c>
    </row>
    <row r="175" spans="5:7" x14ac:dyDescent="0.25">
      <c r="E175">
        <f t="shared" si="10"/>
        <v>0</v>
      </c>
      <c r="F175">
        <f t="shared" si="11"/>
        <v>0</v>
      </c>
      <c r="G175" s="1">
        <f t="shared" si="12"/>
        <v>0</v>
      </c>
    </row>
    <row r="176" spans="5:7" x14ac:dyDescent="0.25">
      <c r="E176">
        <f t="shared" ref="E176:E202" si="13">INT(C176*D176)</f>
        <v>0</v>
      </c>
      <c r="F176">
        <f t="shared" ref="F176:F202" si="14">IF(INT(C176*(D176-1.5)&lt;0),0,INT(C176*(D176-1.5)))</f>
        <v>0</v>
      </c>
      <c r="G176" s="1">
        <f t="shared" si="12"/>
        <v>0</v>
      </c>
    </row>
    <row r="177" spans="5:7" x14ac:dyDescent="0.25">
      <c r="E177">
        <f t="shared" si="13"/>
        <v>0</v>
      </c>
      <c r="F177">
        <f t="shared" si="14"/>
        <v>0</v>
      </c>
      <c r="G177" s="1">
        <f t="shared" si="12"/>
        <v>0</v>
      </c>
    </row>
    <row r="178" spans="5:7" x14ac:dyDescent="0.25">
      <c r="E178">
        <f t="shared" si="13"/>
        <v>0</v>
      </c>
      <c r="F178">
        <f t="shared" si="14"/>
        <v>0</v>
      </c>
      <c r="G178" s="1">
        <f t="shared" si="12"/>
        <v>0</v>
      </c>
    </row>
    <row r="179" spans="5:7" x14ac:dyDescent="0.25">
      <c r="E179">
        <f t="shared" si="13"/>
        <v>0</v>
      </c>
      <c r="F179">
        <f t="shared" si="14"/>
        <v>0</v>
      </c>
      <c r="G179" s="1">
        <f t="shared" si="12"/>
        <v>0</v>
      </c>
    </row>
    <row r="180" spans="5:7" x14ac:dyDescent="0.25">
      <c r="E180">
        <f t="shared" si="13"/>
        <v>0</v>
      </c>
      <c r="F180">
        <f t="shared" si="14"/>
        <v>0</v>
      </c>
      <c r="G180" s="1">
        <f t="shared" si="12"/>
        <v>0</v>
      </c>
    </row>
    <row r="181" spans="5:7" x14ac:dyDescent="0.25">
      <c r="E181">
        <f t="shared" si="13"/>
        <v>0</v>
      </c>
      <c r="F181">
        <f t="shared" si="14"/>
        <v>0</v>
      </c>
      <c r="G181" s="1">
        <f t="shared" si="12"/>
        <v>0</v>
      </c>
    </row>
    <row r="182" spans="5:7" x14ac:dyDescent="0.25">
      <c r="E182">
        <f t="shared" si="13"/>
        <v>0</v>
      </c>
      <c r="F182">
        <f t="shared" si="14"/>
        <v>0</v>
      </c>
      <c r="G182" s="1">
        <f t="shared" si="12"/>
        <v>0</v>
      </c>
    </row>
    <row r="183" spans="5:7" x14ac:dyDescent="0.25">
      <c r="E183">
        <f t="shared" si="13"/>
        <v>0</v>
      </c>
      <c r="F183">
        <f t="shared" si="14"/>
        <v>0</v>
      </c>
      <c r="G183" s="1">
        <f t="shared" si="12"/>
        <v>0</v>
      </c>
    </row>
    <row r="184" spans="5:7" x14ac:dyDescent="0.25">
      <c r="E184">
        <f t="shared" si="13"/>
        <v>0</v>
      </c>
      <c r="F184">
        <f t="shared" si="14"/>
        <v>0</v>
      </c>
      <c r="G184" s="1">
        <f t="shared" si="12"/>
        <v>0</v>
      </c>
    </row>
    <row r="185" spans="5:7" x14ac:dyDescent="0.25">
      <c r="E185">
        <f t="shared" si="13"/>
        <v>0</v>
      </c>
      <c r="F185">
        <f t="shared" si="14"/>
        <v>0</v>
      </c>
      <c r="G185" s="1">
        <f t="shared" si="12"/>
        <v>0</v>
      </c>
    </row>
    <row r="186" spans="5:7" x14ac:dyDescent="0.25">
      <c r="E186">
        <f t="shared" si="13"/>
        <v>0</v>
      </c>
      <c r="F186">
        <f t="shared" si="14"/>
        <v>0</v>
      </c>
      <c r="G186" s="1">
        <f t="shared" si="12"/>
        <v>0</v>
      </c>
    </row>
    <row r="187" spans="5:7" x14ac:dyDescent="0.25">
      <c r="E187">
        <f t="shared" si="13"/>
        <v>0</v>
      </c>
      <c r="F187">
        <f t="shared" si="14"/>
        <v>0</v>
      </c>
      <c r="G187" s="1">
        <f t="shared" si="12"/>
        <v>0</v>
      </c>
    </row>
    <row r="188" spans="5:7" x14ac:dyDescent="0.25">
      <c r="E188">
        <f t="shared" si="13"/>
        <v>0</v>
      </c>
      <c r="F188">
        <f t="shared" si="14"/>
        <v>0</v>
      </c>
      <c r="G188" s="1">
        <f t="shared" si="12"/>
        <v>0</v>
      </c>
    </row>
    <row r="189" spans="5:7" x14ac:dyDescent="0.25">
      <c r="E189">
        <f t="shared" si="13"/>
        <v>0</v>
      </c>
      <c r="F189">
        <f t="shared" si="14"/>
        <v>0</v>
      </c>
      <c r="G189" s="1">
        <f t="shared" si="12"/>
        <v>0</v>
      </c>
    </row>
    <row r="190" spans="5:7" x14ac:dyDescent="0.25">
      <c r="E190">
        <f t="shared" si="13"/>
        <v>0</v>
      </c>
      <c r="F190">
        <f t="shared" si="14"/>
        <v>0</v>
      </c>
      <c r="G190" s="1">
        <f t="shared" si="12"/>
        <v>0</v>
      </c>
    </row>
    <row r="191" spans="5:7" x14ac:dyDescent="0.25">
      <c r="E191">
        <f t="shared" si="13"/>
        <v>0</v>
      </c>
      <c r="F191">
        <f t="shared" si="14"/>
        <v>0</v>
      </c>
      <c r="G191" s="1">
        <f t="shared" si="12"/>
        <v>0</v>
      </c>
    </row>
    <row r="192" spans="5:7" x14ac:dyDescent="0.25">
      <c r="E192">
        <f t="shared" si="13"/>
        <v>0</v>
      </c>
      <c r="F192">
        <f t="shared" si="14"/>
        <v>0</v>
      </c>
      <c r="G192" s="1">
        <f t="shared" si="12"/>
        <v>0</v>
      </c>
    </row>
    <row r="193" spans="5:7" x14ac:dyDescent="0.25">
      <c r="E193">
        <f t="shared" si="13"/>
        <v>0</v>
      </c>
      <c r="F193">
        <f t="shared" si="14"/>
        <v>0</v>
      </c>
      <c r="G193" s="1">
        <f t="shared" si="12"/>
        <v>0</v>
      </c>
    </row>
    <row r="194" spans="5:7" x14ac:dyDescent="0.25">
      <c r="E194">
        <f t="shared" si="13"/>
        <v>0</v>
      </c>
      <c r="F194">
        <f t="shared" si="14"/>
        <v>0</v>
      </c>
      <c r="G194" s="1">
        <f t="shared" si="12"/>
        <v>0</v>
      </c>
    </row>
    <row r="195" spans="5:7" x14ac:dyDescent="0.25">
      <c r="E195">
        <f t="shared" si="13"/>
        <v>0</v>
      </c>
      <c r="F195">
        <f t="shared" si="14"/>
        <v>0</v>
      </c>
      <c r="G195" s="1">
        <f t="shared" si="12"/>
        <v>0</v>
      </c>
    </row>
    <row r="196" spans="5:7" x14ac:dyDescent="0.25">
      <c r="E196">
        <f t="shared" si="13"/>
        <v>0</v>
      </c>
      <c r="F196">
        <f t="shared" si="14"/>
        <v>0</v>
      </c>
      <c r="G196" s="1">
        <f t="shared" si="12"/>
        <v>0</v>
      </c>
    </row>
    <row r="197" spans="5:7" x14ac:dyDescent="0.25">
      <c r="E197">
        <f t="shared" si="13"/>
        <v>0</v>
      </c>
      <c r="F197">
        <f t="shared" si="14"/>
        <v>0</v>
      </c>
      <c r="G197" s="1">
        <f t="shared" si="12"/>
        <v>0</v>
      </c>
    </row>
    <row r="198" spans="5:7" x14ac:dyDescent="0.25">
      <c r="E198">
        <f t="shared" si="13"/>
        <v>0</v>
      </c>
      <c r="F198">
        <f t="shared" si="14"/>
        <v>0</v>
      </c>
      <c r="G198" s="1">
        <f t="shared" si="12"/>
        <v>0</v>
      </c>
    </row>
    <row r="199" spans="5:7" x14ac:dyDescent="0.25">
      <c r="E199">
        <f t="shared" si="13"/>
        <v>0</v>
      </c>
      <c r="F199">
        <f t="shared" si="14"/>
        <v>0</v>
      </c>
      <c r="G199" s="1">
        <f t="shared" si="12"/>
        <v>0</v>
      </c>
    </row>
    <row r="200" spans="5:7" x14ac:dyDescent="0.25">
      <c r="E200">
        <f t="shared" si="13"/>
        <v>0</v>
      </c>
      <c r="F200">
        <f t="shared" si="14"/>
        <v>0</v>
      </c>
      <c r="G200" s="1">
        <f t="shared" si="12"/>
        <v>0</v>
      </c>
    </row>
    <row r="201" spans="5:7" x14ac:dyDescent="0.25">
      <c r="E201">
        <f t="shared" si="13"/>
        <v>0</v>
      </c>
      <c r="F201">
        <f t="shared" si="14"/>
        <v>0</v>
      </c>
      <c r="G201" s="1">
        <f t="shared" si="12"/>
        <v>0</v>
      </c>
    </row>
    <row r="202" spans="5:7" x14ac:dyDescent="0.25">
      <c r="E202">
        <f t="shared" si="13"/>
        <v>0</v>
      </c>
      <c r="F202">
        <f t="shared" si="14"/>
        <v>0</v>
      </c>
      <c r="G202" s="1">
        <f t="shared" si="12"/>
        <v>0</v>
      </c>
    </row>
    <row r="203" spans="5:7" x14ac:dyDescent="0.25">
      <c r="E203">
        <f t="shared" ref="E203:E207" si="15">INT(C203*D203)</f>
        <v>0</v>
      </c>
      <c r="F203">
        <f t="shared" ref="F203:F207" si="16">IF(INT(C203*(D203-1.5)&lt;0),0,INT(C203*(D203-1.5)))</f>
        <v>0</v>
      </c>
      <c r="G203" s="1">
        <f t="shared" ref="G203:G207" si="17">E203-(C203*1.5)-F203</f>
        <v>0</v>
      </c>
    </row>
    <row r="204" spans="5:7" x14ac:dyDescent="0.25">
      <c r="E204">
        <f t="shared" si="15"/>
        <v>0</v>
      </c>
      <c r="F204">
        <f t="shared" si="16"/>
        <v>0</v>
      </c>
      <c r="G204" s="1">
        <f t="shared" si="17"/>
        <v>0</v>
      </c>
    </row>
    <row r="205" spans="5:7" x14ac:dyDescent="0.25">
      <c r="E205">
        <f t="shared" si="15"/>
        <v>0</v>
      </c>
      <c r="F205">
        <f t="shared" si="16"/>
        <v>0</v>
      </c>
      <c r="G205" s="1">
        <f t="shared" si="17"/>
        <v>0</v>
      </c>
    </row>
    <row r="206" spans="5:7" x14ac:dyDescent="0.25">
      <c r="E206">
        <f t="shared" si="15"/>
        <v>0</v>
      </c>
      <c r="F206">
        <f t="shared" si="16"/>
        <v>0</v>
      </c>
      <c r="G206" s="1">
        <f t="shared" si="17"/>
        <v>0</v>
      </c>
    </row>
    <row r="207" spans="5:7" x14ac:dyDescent="0.25">
      <c r="E207">
        <f t="shared" si="15"/>
        <v>0</v>
      </c>
      <c r="F207">
        <f t="shared" si="16"/>
        <v>0</v>
      </c>
      <c r="G207" s="1">
        <f t="shared" si="17"/>
        <v>0</v>
      </c>
    </row>
    <row r="1048501" spans="2:3" x14ac:dyDescent="0.25">
      <c r="B1048501">
        <v>15</v>
      </c>
      <c r="C1048501">
        <f>86.2+97.5+102.9+90.8+89+86.9+72.4+85.4+80.7+100.6+99+88.2+102.9+87.2+93.4</f>
        <v>1363.1000000000004</v>
      </c>
    </row>
    <row r="1048502" spans="2:3" x14ac:dyDescent="0.25">
      <c r="B1048502">
        <v>14</v>
      </c>
      <c r="C1048502">
        <f>95.8+85.5+83.5+102.9+86.6+104.5+116.6+89.9+107+92.8+98.6+95.4+106.2+104.8</f>
        <v>1370.1000000000001</v>
      </c>
    </row>
    <row r="1048503" spans="2:3" x14ac:dyDescent="0.25">
      <c r="B1048503">
        <v>15</v>
      </c>
      <c r="C1048503">
        <f>98.4+90+89.2+98.8+86.4+98.4+89+95.2+91.4+93+104.8+99.5+107.4+106.6+86</f>
        <v>1434.1000000000001</v>
      </c>
    </row>
    <row r="1048504" spans="2:3" x14ac:dyDescent="0.25">
      <c r="B1048504">
        <v>15</v>
      </c>
      <c r="C1048504">
        <f>115.5+87.7+77.5+88+96.6+89.5+86.5+98.8+93.2+91.8+103.5+97.4+94+82.9+100.9</f>
        <v>1403.8000000000002</v>
      </c>
    </row>
    <row r="1048505" spans="2:3" x14ac:dyDescent="0.25">
      <c r="B1048505">
        <v>15</v>
      </c>
      <c r="C1048505">
        <f>90.5+85.6+91.4+100.5+85+76.5+96.2+91+90.9+90.4+90+93+93.4+94.4+88</f>
        <v>1356.8000000000002</v>
      </c>
    </row>
    <row r="1048506" spans="2:3" x14ac:dyDescent="0.25">
      <c r="B1048506">
        <v>15</v>
      </c>
      <c r="C1048506">
        <f>82+96+85+97.9+94.5+93.2+87.7+100.4+91.7+89.7+83.7+89.5+98.8+100+95.4</f>
        <v>1385.5000000000002</v>
      </c>
    </row>
    <row r="1048507" spans="2:3" x14ac:dyDescent="0.25">
      <c r="B1048507">
        <v>16.5</v>
      </c>
      <c r="C1048507">
        <f>39+83.4+93.5+81.4+83.9+100.4+87+86.7+101.5+87+89.9+88.5+87.2+89+106.4+80+94.4</f>
        <v>1479.2000000000003</v>
      </c>
    </row>
    <row r="1048508" spans="2:3" x14ac:dyDescent="0.25">
      <c r="B1048508">
        <v>15</v>
      </c>
      <c r="C1048508">
        <f>86+95.4+80.7+103+105.5+87+96.9+93.4+89.4+80.8+97.4+100+97.5+100.4+86</f>
        <v>1399.4</v>
      </c>
    </row>
    <row r="1048510" spans="2:3" x14ac:dyDescent="0.25">
      <c r="C1048510">
        <f>SUM(C1048501:C1048509)</f>
        <v>11192.000000000002</v>
      </c>
    </row>
    <row r="1048515" spans="2:3" x14ac:dyDescent="0.25">
      <c r="B1048515">
        <v>14</v>
      </c>
      <c r="C1048515">
        <f>132.7+101.2+126.6+110.7+113.2+110.6+104.4+124.4+115+111.6+115.5+109.6+116.8+115.9</f>
        <v>1608.1999999999998</v>
      </c>
    </row>
    <row r="1048516" spans="2:3" x14ac:dyDescent="0.25">
      <c r="B1048516">
        <v>14</v>
      </c>
      <c r="C1048516">
        <f>95+108.5+104.8+102.4+98.9+116.4+107.2+103.2+114.2+113.5+113+110.7+126+116.9</f>
        <v>1530.7000000000003</v>
      </c>
    </row>
    <row r="1048517" spans="2:3" x14ac:dyDescent="0.25">
      <c r="B1048517">
        <v>14</v>
      </c>
      <c r="C1048517">
        <f>95.8+103+92.2+91.4+90.4+100.8+101.9+95.4+93+100.4+89.8+93.2+99+89</f>
        <v>1335.3</v>
      </c>
    </row>
    <row r="1048518" spans="2:3" x14ac:dyDescent="0.25">
      <c r="B1048518">
        <v>17</v>
      </c>
      <c r="C1048518">
        <f>106.9+110.4+101.6+119.9+118+105.2+112+114.7+102.5+104+105+106.9+110+102.7+104.7+114.9+97.6</f>
        <v>1837.0000000000002</v>
      </c>
    </row>
    <row r="1048519" spans="2:3" x14ac:dyDescent="0.25">
      <c r="B1048519">
        <v>13</v>
      </c>
      <c r="C1048519">
        <f>105.4+93.8+92.8+89.7+104.4+80.5+107.6+86.4+107.6+100.4+102.6+99.9+98.6</f>
        <v>1269.7</v>
      </c>
    </row>
    <row r="1048521" spans="2:3" x14ac:dyDescent="0.25">
      <c r="C1048521">
        <f>SUM(C1048515:C1048520)</f>
        <v>7580.9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SÔ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USER;1</dc:creator>
  <cp:lastModifiedBy>Administrator</cp:lastModifiedBy>
  <cp:lastPrinted>2010-10-29T08:49:00Z</cp:lastPrinted>
  <dcterms:created xsi:type="dcterms:W3CDTF">2006-09-03T03:20:45Z</dcterms:created>
  <dcterms:modified xsi:type="dcterms:W3CDTF">2026-04-17T22:00:27Z</dcterms:modified>
</cp:coreProperties>
</file>