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3620"/>
  </bookViews>
  <sheets>
    <sheet name="SÔ" sheetId="19" r:id="rId1"/>
    <sheet name="Sheet1" sheetId="20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9" l="1"/>
  <c r="C36" i="19"/>
  <c r="C35" i="19" l="1"/>
  <c r="C34" i="19"/>
  <c r="C12" i="19"/>
  <c r="F12" i="19" s="1"/>
  <c r="C14" i="19"/>
  <c r="E13" i="19"/>
  <c r="F13" i="19"/>
  <c r="G13" i="19" s="1"/>
  <c r="C24" i="19"/>
  <c r="C21" i="19"/>
  <c r="C20" i="19"/>
  <c r="C19" i="19"/>
  <c r="C17" i="19"/>
  <c r="C16" i="19"/>
  <c r="C10" i="19"/>
  <c r="C9" i="19"/>
  <c r="C6" i="19"/>
  <c r="F6" i="19" s="1"/>
  <c r="C8" i="19"/>
  <c r="C7" i="19"/>
  <c r="C5" i="19"/>
  <c r="C3" i="19"/>
  <c r="E6" i="19" l="1"/>
  <c r="E12" i="19"/>
  <c r="F36" i="19"/>
  <c r="E36" i="19"/>
  <c r="E4" i="19" l="1"/>
  <c r="F4" i="19"/>
  <c r="E5" i="19"/>
  <c r="F5" i="19"/>
  <c r="E7" i="19"/>
  <c r="F7" i="19"/>
  <c r="E8" i="19"/>
  <c r="F8" i="19"/>
  <c r="E9" i="19"/>
  <c r="F9" i="19"/>
  <c r="E10" i="19"/>
  <c r="F10" i="19"/>
  <c r="G10" i="19" s="1"/>
  <c r="E11" i="19"/>
  <c r="F11" i="19"/>
  <c r="E14" i="19"/>
  <c r="F14" i="19"/>
  <c r="E15" i="19"/>
  <c r="F15" i="19"/>
  <c r="E16" i="19"/>
  <c r="F16" i="19"/>
  <c r="E17" i="19"/>
  <c r="F17" i="19"/>
  <c r="E18" i="19"/>
  <c r="F18" i="19"/>
  <c r="E19" i="19"/>
  <c r="F19" i="19"/>
  <c r="E20" i="19"/>
  <c r="F20" i="19"/>
  <c r="E21" i="19"/>
  <c r="F21" i="19"/>
  <c r="G21" i="19" s="1"/>
  <c r="E22" i="19"/>
  <c r="F22" i="19"/>
  <c r="E23" i="19"/>
  <c r="F23" i="19"/>
  <c r="E24" i="19"/>
  <c r="F24" i="19"/>
  <c r="E25" i="19"/>
  <c r="F25" i="19"/>
  <c r="G25" i="19" s="1"/>
  <c r="E26" i="19"/>
  <c r="F26" i="19"/>
  <c r="E27" i="19"/>
  <c r="F27" i="19"/>
  <c r="E28" i="19"/>
  <c r="F28" i="19"/>
  <c r="E29" i="19"/>
  <c r="F29" i="19"/>
  <c r="E30" i="19"/>
  <c r="F30" i="19"/>
  <c r="E31" i="19"/>
  <c r="F31" i="19"/>
  <c r="E32" i="19"/>
  <c r="F32" i="19"/>
  <c r="E33" i="19"/>
  <c r="F33" i="19"/>
  <c r="G33" i="19" s="1"/>
  <c r="E34" i="19"/>
  <c r="F34" i="19"/>
  <c r="E35" i="19"/>
  <c r="F35" i="19"/>
  <c r="G36" i="19"/>
  <c r="E41" i="19"/>
  <c r="F41" i="19"/>
  <c r="E42" i="19"/>
  <c r="F42" i="19"/>
  <c r="E43" i="19"/>
  <c r="F43" i="19"/>
  <c r="E44" i="19"/>
  <c r="F44" i="19"/>
  <c r="E45" i="19"/>
  <c r="F45" i="19"/>
  <c r="E46" i="19"/>
  <c r="F46" i="19"/>
  <c r="E47" i="19"/>
  <c r="F47" i="19"/>
  <c r="E48" i="19"/>
  <c r="F48" i="19"/>
  <c r="E49" i="19"/>
  <c r="F49" i="19"/>
  <c r="E50" i="19"/>
  <c r="F50" i="19"/>
  <c r="E51" i="19"/>
  <c r="F51" i="19"/>
  <c r="G53" i="19"/>
  <c r="E56" i="19"/>
  <c r="F56" i="19"/>
  <c r="E57" i="19"/>
  <c r="F57" i="19"/>
  <c r="E58" i="19"/>
  <c r="F58" i="19"/>
  <c r="E59" i="19"/>
  <c r="F59" i="19"/>
  <c r="E60" i="19"/>
  <c r="F60" i="19"/>
  <c r="E61" i="19"/>
  <c r="F61" i="19"/>
  <c r="E62" i="19"/>
  <c r="F62" i="19"/>
  <c r="E63" i="19"/>
  <c r="F63" i="19"/>
  <c r="E64" i="19"/>
  <c r="F64" i="19"/>
  <c r="G64" i="19" s="1"/>
  <c r="E65" i="19"/>
  <c r="F65" i="19"/>
  <c r="E66" i="19"/>
  <c r="F66" i="19"/>
  <c r="E67" i="19"/>
  <c r="F67" i="19"/>
  <c r="E68" i="19"/>
  <c r="F68" i="19"/>
  <c r="G68" i="19" s="1"/>
  <c r="E69" i="19"/>
  <c r="F69" i="19"/>
  <c r="E70" i="19"/>
  <c r="F70" i="19"/>
  <c r="E71" i="19"/>
  <c r="F71" i="19"/>
  <c r="E72" i="19"/>
  <c r="F72" i="19"/>
  <c r="E73" i="19"/>
  <c r="F73" i="19"/>
  <c r="E74" i="19"/>
  <c r="F74" i="19"/>
  <c r="E75" i="19"/>
  <c r="F75" i="19"/>
  <c r="E76" i="19"/>
  <c r="F76" i="19"/>
  <c r="E77" i="19"/>
  <c r="F77" i="19"/>
  <c r="E78" i="19"/>
  <c r="F78" i="19"/>
  <c r="E79" i="19"/>
  <c r="F79" i="19"/>
  <c r="E80" i="19"/>
  <c r="F80" i="19"/>
  <c r="E81" i="19"/>
  <c r="F81" i="19"/>
  <c r="E82" i="19"/>
  <c r="F82" i="19"/>
  <c r="E83" i="19"/>
  <c r="F83" i="19"/>
  <c r="E84" i="19"/>
  <c r="F84" i="19"/>
  <c r="E85" i="19"/>
  <c r="F85" i="19"/>
  <c r="E86" i="19"/>
  <c r="F86" i="19"/>
  <c r="E87" i="19"/>
  <c r="F87" i="19"/>
  <c r="E88" i="19"/>
  <c r="F88" i="19"/>
  <c r="E89" i="19"/>
  <c r="F89" i="19"/>
  <c r="E90" i="19"/>
  <c r="F90" i="19"/>
  <c r="E91" i="19"/>
  <c r="F91" i="19"/>
  <c r="E92" i="19"/>
  <c r="F92" i="19"/>
  <c r="E93" i="19"/>
  <c r="F93" i="19"/>
  <c r="E94" i="19"/>
  <c r="F94" i="19"/>
  <c r="E95" i="19"/>
  <c r="F95" i="19"/>
  <c r="E96" i="19"/>
  <c r="F96" i="19"/>
  <c r="E97" i="19"/>
  <c r="F97" i="19"/>
  <c r="E98" i="19"/>
  <c r="F98" i="19"/>
  <c r="E99" i="19"/>
  <c r="F99" i="19"/>
  <c r="E100" i="19"/>
  <c r="F100" i="19"/>
  <c r="E101" i="19"/>
  <c r="F101" i="19"/>
  <c r="G101" i="19" s="1"/>
  <c r="E102" i="19"/>
  <c r="F102" i="19"/>
  <c r="E103" i="19"/>
  <c r="F103" i="19"/>
  <c r="E104" i="19"/>
  <c r="F104" i="19"/>
  <c r="E105" i="19"/>
  <c r="F105" i="19"/>
  <c r="E106" i="19"/>
  <c r="F106" i="19"/>
  <c r="E107" i="19"/>
  <c r="F107" i="19"/>
  <c r="E108" i="19"/>
  <c r="F108" i="19"/>
  <c r="E109" i="19"/>
  <c r="F109" i="19"/>
  <c r="E110" i="19"/>
  <c r="F110" i="19"/>
  <c r="E111" i="19"/>
  <c r="F111" i="19"/>
  <c r="E112" i="19"/>
  <c r="F112" i="19"/>
  <c r="E113" i="19"/>
  <c r="F113" i="19"/>
  <c r="E114" i="19"/>
  <c r="F114" i="19"/>
  <c r="E115" i="19"/>
  <c r="F115" i="19"/>
  <c r="E116" i="19"/>
  <c r="F116" i="19"/>
  <c r="E117" i="19"/>
  <c r="F117" i="19"/>
  <c r="E118" i="19"/>
  <c r="F118" i="19"/>
  <c r="E119" i="19"/>
  <c r="F119" i="19"/>
  <c r="E120" i="19"/>
  <c r="F120" i="19"/>
  <c r="E121" i="19"/>
  <c r="F121" i="19"/>
  <c r="E122" i="19"/>
  <c r="F122" i="19"/>
  <c r="E123" i="19"/>
  <c r="F123" i="19"/>
  <c r="E124" i="19"/>
  <c r="F124" i="19"/>
  <c r="E125" i="19"/>
  <c r="F125" i="19"/>
  <c r="E126" i="19"/>
  <c r="F126" i="19"/>
  <c r="E127" i="19"/>
  <c r="F127" i="19"/>
  <c r="E128" i="19"/>
  <c r="F128" i="19"/>
  <c r="E129" i="19"/>
  <c r="F129" i="19"/>
  <c r="E130" i="19"/>
  <c r="F130" i="19"/>
  <c r="E131" i="19"/>
  <c r="F131" i="19"/>
  <c r="E132" i="19"/>
  <c r="F132" i="19"/>
  <c r="E133" i="19"/>
  <c r="F133" i="19"/>
  <c r="E134" i="19"/>
  <c r="F134" i="19"/>
  <c r="E135" i="19"/>
  <c r="F135" i="19"/>
  <c r="E136" i="19"/>
  <c r="F136" i="19"/>
  <c r="E137" i="19"/>
  <c r="F137" i="19"/>
  <c r="G137" i="19" s="1"/>
  <c r="E138" i="19"/>
  <c r="F138" i="19"/>
  <c r="E139" i="19"/>
  <c r="F139" i="19"/>
  <c r="E140" i="19"/>
  <c r="F140" i="19"/>
  <c r="E141" i="19"/>
  <c r="F141" i="19"/>
  <c r="E142" i="19"/>
  <c r="F142" i="19"/>
  <c r="E143" i="19"/>
  <c r="F143" i="19"/>
  <c r="E144" i="19"/>
  <c r="F144" i="19"/>
  <c r="E145" i="19"/>
  <c r="F145" i="19"/>
  <c r="E146" i="19"/>
  <c r="F146" i="19"/>
  <c r="E147" i="19"/>
  <c r="F147" i="19"/>
  <c r="E148" i="19"/>
  <c r="F148" i="19"/>
  <c r="E149" i="19"/>
  <c r="F149" i="19"/>
  <c r="E150" i="19"/>
  <c r="F150" i="19"/>
  <c r="E151" i="19"/>
  <c r="F151" i="19"/>
  <c r="E152" i="19"/>
  <c r="F152" i="19"/>
  <c r="E153" i="19"/>
  <c r="F153" i="19"/>
  <c r="E154" i="19"/>
  <c r="F154" i="19"/>
  <c r="E155" i="19"/>
  <c r="F155" i="19"/>
  <c r="E156" i="19"/>
  <c r="F156" i="19"/>
  <c r="E157" i="19"/>
  <c r="F157" i="19"/>
  <c r="E158" i="19"/>
  <c r="F158" i="19"/>
  <c r="E159" i="19"/>
  <c r="F159" i="19"/>
  <c r="E160" i="19"/>
  <c r="F160" i="19"/>
  <c r="E161" i="19"/>
  <c r="F161" i="19"/>
  <c r="E162" i="19"/>
  <c r="F162" i="19"/>
  <c r="E163" i="19"/>
  <c r="F163" i="19"/>
  <c r="E164" i="19"/>
  <c r="F164" i="19"/>
  <c r="E165" i="19"/>
  <c r="F165" i="19"/>
  <c r="E166" i="19"/>
  <c r="F166" i="19"/>
  <c r="E167" i="19"/>
  <c r="F167" i="19"/>
  <c r="E168" i="19"/>
  <c r="F168" i="19"/>
  <c r="E169" i="19"/>
  <c r="F169" i="19"/>
  <c r="E170" i="19"/>
  <c r="F170" i="19"/>
  <c r="E171" i="19"/>
  <c r="F171" i="19"/>
  <c r="E172" i="19"/>
  <c r="F172" i="19"/>
  <c r="E173" i="19"/>
  <c r="F173" i="19"/>
  <c r="E174" i="19"/>
  <c r="F174" i="19"/>
  <c r="E175" i="19"/>
  <c r="F175" i="19"/>
  <c r="E176" i="19"/>
  <c r="F176" i="19"/>
  <c r="E177" i="19"/>
  <c r="F177" i="19"/>
  <c r="E178" i="19"/>
  <c r="F178" i="19"/>
  <c r="E179" i="19"/>
  <c r="F179" i="19"/>
  <c r="E180" i="19"/>
  <c r="F180" i="19"/>
  <c r="E181" i="19"/>
  <c r="F181" i="19"/>
  <c r="E182" i="19"/>
  <c r="F182" i="19"/>
  <c r="E183" i="19"/>
  <c r="F183" i="19"/>
  <c r="E184" i="19"/>
  <c r="F184" i="19"/>
  <c r="E185" i="19"/>
  <c r="F185" i="19"/>
  <c r="E186" i="19"/>
  <c r="F186" i="19"/>
  <c r="E187" i="19"/>
  <c r="F187" i="19"/>
  <c r="E188" i="19"/>
  <c r="F188" i="19"/>
  <c r="E189" i="19"/>
  <c r="F189" i="19"/>
  <c r="E190" i="19"/>
  <c r="F190" i="19"/>
  <c r="F3" i="19"/>
  <c r="G166" i="19" l="1"/>
  <c r="G180" i="19"/>
  <c r="G73" i="19"/>
  <c r="G169" i="19"/>
  <c r="G165" i="19"/>
  <c r="G134" i="19"/>
  <c r="G102" i="19"/>
  <c r="G176" i="19"/>
  <c r="G164" i="19"/>
  <c r="G160" i="19"/>
  <c r="G148" i="19"/>
  <c r="G144" i="19"/>
  <c r="G133" i="19"/>
  <c r="G105" i="19"/>
  <c r="G132" i="19"/>
  <c r="G128" i="19"/>
  <c r="G116" i="19"/>
  <c r="G112" i="19"/>
  <c r="G69" i="19"/>
  <c r="G153" i="19"/>
  <c r="G149" i="19"/>
  <c r="G89" i="19"/>
  <c r="G85" i="19"/>
  <c r="G100" i="19"/>
  <c r="G96" i="19"/>
  <c r="G84" i="19"/>
  <c r="G80" i="19"/>
  <c r="G185" i="19"/>
  <c r="G181" i="19"/>
  <c r="G121" i="19"/>
  <c r="G117" i="19"/>
  <c r="G70" i="19"/>
  <c r="G177" i="19"/>
  <c r="G143" i="19"/>
  <c r="G109" i="19"/>
  <c r="G79" i="19"/>
  <c r="G58" i="19"/>
  <c r="G179" i="19"/>
  <c r="G173" i="19"/>
  <c r="G154" i="19"/>
  <c r="G147" i="19"/>
  <c r="G141" i="19"/>
  <c r="G122" i="19"/>
  <c r="G115" i="19"/>
  <c r="G113" i="19"/>
  <c r="G83" i="19"/>
  <c r="G77" i="19"/>
  <c r="G182" i="19"/>
  <c r="G186" i="19"/>
  <c r="G175" i="19"/>
  <c r="G145" i="19"/>
  <c r="G111" i="19"/>
  <c r="G90" i="19"/>
  <c r="G81" i="19"/>
  <c r="G150" i="19"/>
  <c r="G118" i="19"/>
  <c r="G86" i="19"/>
  <c r="G189" i="19"/>
  <c r="G170" i="19"/>
  <c r="G163" i="19"/>
  <c r="G161" i="19"/>
  <c r="G159" i="19"/>
  <c r="G157" i="19"/>
  <c r="G138" i="19"/>
  <c r="G131" i="19"/>
  <c r="G129" i="19"/>
  <c r="G127" i="19"/>
  <c r="G125" i="19"/>
  <c r="G106" i="19"/>
  <c r="G99" i="19"/>
  <c r="G97" i="19"/>
  <c r="G95" i="19"/>
  <c r="G93" i="19"/>
  <c r="G74" i="19"/>
  <c r="G67" i="19"/>
  <c r="G65" i="19"/>
  <c r="G63" i="19"/>
  <c r="G61" i="19"/>
  <c r="G57" i="19"/>
  <c r="G26" i="19"/>
  <c r="G41" i="19"/>
  <c r="G34" i="19"/>
  <c r="G30" i="19"/>
  <c r="G22" i="19"/>
  <c r="G54" i="19"/>
  <c r="G52" i="19"/>
  <c r="G48" i="19"/>
  <c r="G42" i="19"/>
  <c r="G51" i="19"/>
  <c r="G49" i="19"/>
  <c r="G47" i="19"/>
  <c r="G45" i="19"/>
  <c r="G39" i="19"/>
  <c r="G27" i="19"/>
  <c r="G20" i="19"/>
  <c r="G18" i="19"/>
  <c r="G187" i="19"/>
  <c r="G171" i="19"/>
  <c r="G162" i="19"/>
  <c r="G155" i="19"/>
  <c r="G139" i="19"/>
  <c r="G130" i="19"/>
  <c r="G123" i="19"/>
  <c r="G114" i="19"/>
  <c r="G107" i="19"/>
  <c r="G91" i="19"/>
  <c r="G82" i="19"/>
  <c r="G75" i="19"/>
  <c r="G59" i="19"/>
  <c r="G50" i="19"/>
  <c r="G43" i="19"/>
  <c r="G32" i="19"/>
  <c r="G23" i="19"/>
  <c r="G17" i="19"/>
  <c r="G11" i="19"/>
  <c r="G190" i="19"/>
  <c r="G188" i="19"/>
  <c r="G183" i="19"/>
  <c r="G174" i="19"/>
  <c r="G172" i="19"/>
  <c r="G167" i="19"/>
  <c r="G158" i="19"/>
  <c r="G156" i="19"/>
  <c r="G151" i="19"/>
  <c r="G142" i="19"/>
  <c r="G140" i="19"/>
  <c r="G135" i="19"/>
  <c r="G126" i="19"/>
  <c r="G124" i="19"/>
  <c r="G119" i="19"/>
  <c r="G110" i="19"/>
  <c r="G108" i="19"/>
  <c r="G103" i="19"/>
  <c r="G94" i="19"/>
  <c r="G92" i="19"/>
  <c r="G87" i="19"/>
  <c r="G78" i="19"/>
  <c r="G76" i="19"/>
  <c r="G71" i="19"/>
  <c r="G62" i="19"/>
  <c r="G60" i="19"/>
  <c r="G55" i="19"/>
  <c r="G46" i="19"/>
  <c r="G44" i="19"/>
  <c r="G38" i="19"/>
  <c r="G28" i="19"/>
  <c r="G19" i="19"/>
  <c r="G178" i="19"/>
  <c r="G146" i="19"/>
  <c r="G98" i="19"/>
  <c r="G66" i="19"/>
  <c r="G184" i="19"/>
  <c r="G168" i="19"/>
  <c r="G152" i="19"/>
  <c r="G136" i="19"/>
  <c r="G120" i="19"/>
  <c r="G104" i="19"/>
  <c r="G88" i="19"/>
  <c r="G72" i="19"/>
  <c r="G56" i="19"/>
  <c r="G40" i="19"/>
  <c r="G31" i="19"/>
  <c r="G29" i="19"/>
  <c r="G24" i="19"/>
  <c r="G15" i="19"/>
  <c r="G16" i="19"/>
  <c r="G14" i="19"/>
  <c r="G8" i="19"/>
  <c r="G7" i="19"/>
  <c r="G9" i="19"/>
  <c r="G35" i="19"/>
  <c r="G5" i="19"/>
  <c r="G4" i="19"/>
  <c r="E3" i="19"/>
  <c r="G3" i="19" s="1"/>
  <c r="G37" i="19" l="1"/>
</calcChain>
</file>

<file path=xl/sharedStrings.xml><?xml version="1.0" encoding="utf-8"?>
<sst xmlns="http://schemas.openxmlformats.org/spreadsheetml/2006/main" count="52" uniqueCount="45">
  <si>
    <t>SL</t>
  </si>
  <si>
    <t>GIÁ</t>
  </si>
  <si>
    <t>T.TIỀN</t>
  </si>
  <si>
    <t>SC</t>
  </si>
  <si>
    <t>KH</t>
  </si>
  <si>
    <t>XA HƯƠNG GIANG</t>
  </si>
  <si>
    <t>SÁU LK</t>
  </si>
  <si>
    <t>SẠP THI YẾN</t>
  </si>
  <si>
    <t>XA BÍCH HM</t>
  </si>
  <si>
    <t>XA HUỆ ĐẬU</t>
  </si>
  <si>
    <t>XA V 01</t>
  </si>
  <si>
    <t>XA PHƯỢNG HẢI</t>
  </si>
  <si>
    <t>XA QUANG THU</t>
  </si>
  <si>
    <t>XA SƯƠNG BL</t>
  </si>
  <si>
    <t>SẠP MAI LAN</t>
  </si>
  <si>
    <t>SẠP KIM LOAN</t>
  </si>
  <si>
    <t>BÉ BN</t>
  </si>
  <si>
    <t>XA ĐÀI</t>
  </si>
  <si>
    <t>XA VƯỢNG SK</t>
  </si>
  <si>
    <t>XA CÔNG MỸ VÂN</t>
  </si>
  <si>
    <t>XA HƯƠNG</t>
  </si>
  <si>
    <t>XA DANH BX</t>
  </si>
  <si>
    <t>XA HẰNG LVT</t>
  </si>
  <si>
    <t>XA HUY TĐ</t>
  </si>
  <si>
    <t>XA V 02</t>
  </si>
  <si>
    <t>XA THẢO</t>
  </si>
  <si>
    <t>XA LIÊN ĐT</t>
  </si>
  <si>
    <t>XA V 03</t>
  </si>
  <si>
    <t>XA V 04</t>
  </si>
  <si>
    <t>SẠP MẪN XUÂN</t>
  </si>
  <si>
    <t>SẠP TRÂM</t>
  </si>
  <si>
    <t>VŨ LÙN</t>
  </si>
  <si>
    <t>LÁI (VŨ)</t>
  </si>
  <si>
    <t>XA T 01</t>
  </si>
  <si>
    <t>XA NGHĨA HM</t>
  </si>
  <si>
    <t>XA CƯỜNG HL</t>
  </si>
  <si>
    <t>XA T 02</t>
  </si>
  <si>
    <t>XA T 03</t>
  </si>
  <si>
    <t>XA LOAN TH</t>
  </si>
  <si>
    <t>XA T 04</t>
  </si>
  <si>
    <t>XA T 05</t>
  </si>
  <si>
    <t>XA MỸ HT</t>
  </si>
  <si>
    <t>XA T 06</t>
  </si>
  <si>
    <t>XA TÝ</t>
  </si>
  <si>
    <t>LÁI (THÀNH)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</si>
</sst>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4" x14ac:knownFonts="1">
    <font>
      <sz val="14"/>
      <name val="Arial"/>
    </font>
    <font>
      <b/>
      <sz val="8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0"/>
  <sheetViews>
    <sheetView tabSelected="1" topLeftCell="A28" zoomScale="240" zoomScaleNormal="240" workbookViewId="0">
      <selection activeCell="A3" sqref="A3:D37"/>
    </sheetView>
  </sheetViews>
  <sheetFormatPr defaultRowHeight="11.25" x14ac:dyDescent="0.2"/>
  <cols>
    <col min="1" max="1" width="7.26953125" style="3" customWidth="1"/>
    <col min="2" max="2" width="3.1796875" style="3" customWidth="1"/>
    <col min="3" max="3" width="3.90625" style="3" customWidth="1"/>
    <col min="4" max="4" width="3.6328125" style="3" customWidth="1"/>
    <col min="5" max="6" width="5" style="3" customWidth="1"/>
    <col min="7" max="7" width="8.984375E-2" style="1" customWidth="1"/>
    <col min="8" max="8" width="6.7265625" style="1" customWidth="1"/>
    <col min="9" max="9" width="6.7265625" style="2" customWidth="1"/>
    <col min="10" max="16384" width="8.7265625" style="3"/>
  </cols>
  <sheetData>
    <row r="1" spans="1:7" ht="15" customHeight="1" x14ac:dyDescent="0.2">
      <c r="A1" s="5">
        <v>46026</v>
      </c>
      <c r="B1" s="5"/>
      <c r="C1" s="5"/>
      <c r="D1" s="5"/>
      <c r="E1" s="5"/>
      <c r="F1" s="5"/>
    </row>
    <row r="2" spans="1:7" ht="15" customHeight="1" x14ac:dyDescent="0.2">
      <c r="A2" s="4" t="s">
        <v>4</v>
      </c>
      <c r="B2" s="4" t="s">
        <v>3</v>
      </c>
      <c r="C2" s="4" t="s">
        <v>0</v>
      </c>
      <c r="D2" s="4" t="s">
        <v>1</v>
      </c>
      <c r="E2" s="4" t="s">
        <v>2</v>
      </c>
      <c r="F2" s="4"/>
    </row>
    <row r="3" spans="1:7" ht="10.5" customHeight="1" x14ac:dyDescent="0.2">
      <c r="A3" s="3" t="s">
        <v>5</v>
      </c>
      <c r="B3" s="3">
        <v>11</v>
      </c>
      <c r="C3" s="3">
        <f>118.1+82.5+91.6+91.4+84.7+95.3+90.4+81.2+92.8+95+78-6-2</f>
        <v>993</v>
      </c>
      <c r="D3" s="3">
        <v>83</v>
      </c>
      <c r="E3" s="3">
        <f t="shared" ref="E3" si="0">INT(C3*D3)</f>
        <v>82419</v>
      </c>
      <c r="F3" s="3">
        <f>IF(INT(C3*(D3-1.5)&lt;0),0,INT(C3*(D3-1.5)))</f>
        <v>80929</v>
      </c>
      <c r="G3" s="1">
        <f>E3-(C3*1.5)-F3</f>
        <v>0.5</v>
      </c>
    </row>
    <row r="4" spans="1:7" x14ac:dyDescent="0.2">
      <c r="A4" s="3" t="s">
        <v>6</v>
      </c>
      <c r="B4" s="3">
        <v>1</v>
      </c>
      <c r="C4" s="3">
        <v>72.900000000000006</v>
      </c>
      <c r="D4" s="3">
        <v>85</v>
      </c>
      <c r="E4" s="3">
        <f t="shared" ref="E4:E8" si="1">INT(C4*D4)</f>
        <v>6196</v>
      </c>
      <c r="F4" s="3">
        <f t="shared" ref="F4:F8" si="2">IF(INT(C4*(D4-1.5)&lt;0),0,INT(C4*(D4-1.5)))</f>
        <v>6087</v>
      </c>
      <c r="G4" s="1">
        <f t="shared" ref="G4:G57" si="3">E4-(C4*1.5)-F4</f>
        <v>-0.3500000000003638</v>
      </c>
    </row>
    <row r="5" spans="1:7" x14ac:dyDescent="0.2">
      <c r="A5" s="3" t="s">
        <v>7</v>
      </c>
      <c r="B5" s="3">
        <v>4</v>
      </c>
      <c r="C5" s="3">
        <f>83.2+79.4+99.3+80.5-1</f>
        <v>341.40000000000003</v>
      </c>
      <c r="D5" s="3">
        <v>85</v>
      </c>
      <c r="E5" s="3">
        <f t="shared" si="1"/>
        <v>29019</v>
      </c>
      <c r="F5" s="3">
        <f t="shared" si="2"/>
        <v>28506</v>
      </c>
      <c r="G5" s="1">
        <f t="shared" si="3"/>
        <v>0.90000000000145519</v>
      </c>
    </row>
    <row r="6" spans="1:7" x14ac:dyDescent="0.2">
      <c r="A6" s="3" t="s">
        <v>8</v>
      </c>
      <c r="B6" s="3">
        <v>7.5</v>
      </c>
      <c r="C6" s="3">
        <f>143.6+132.8+139.4+104.4-2</f>
        <v>518.19999999999993</v>
      </c>
      <c r="D6" s="3">
        <v>83</v>
      </c>
      <c r="E6" s="3">
        <f t="shared" ref="E6" si="4">INT(C6*D6)</f>
        <v>43010</v>
      </c>
      <c r="F6" s="3">
        <f t="shared" ref="F6" si="5">IF(INT(C6*(D6-1.5)&lt;0),0,INT(C6*(D6-1.5)))</f>
        <v>42233</v>
      </c>
    </row>
    <row r="7" spans="1:7" x14ac:dyDescent="0.2">
      <c r="A7" s="3" t="s">
        <v>9</v>
      </c>
      <c r="B7" s="3">
        <v>8</v>
      </c>
      <c r="C7" s="3">
        <f>96+88.8+78.7+87.8+90.5+88.2+82.6+80.5-6</f>
        <v>687.1</v>
      </c>
      <c r="D7" s="3">
        <v>88</v>
      </c>
      <c r="E7" s="3">
        <f t="shared" si="1"/>
        <v>60464</v>
      </c>
      <c r="F7" s="3">
        <f t="shared" si="2"/>
        <v>59434</v>
      </c>
      <c r="G7" s="1">
        <f t="shared" si="3"/>
        <v>-0.65000000000145519</v>
      </c>
    </row>
    <row r="8" spans="1:7" x14ac:dyDescent="0.2">
      <c r="A8" s="3" t="s">
        <v>9</v>
      </c>
      <c r="B8" s="3">
        <v>3</v>
      </c>
      <c r="C8" s="3">
        <f>93.7+95.3+85.8-2</f>
        <v>272.8</v>
      </c>
      <c r="D8" s="3">
        <v>87</v>
      </c>
      <c r="E8" s="3">
        <f t="shared" si="1"/>
        <v>23733</v>
      </c>
      <c r="F8" s="3">
        <f t="shared" si="2"/>
        <v>23324</v>
      </c>
      <c r="G8" s="1">
        <f t="shared" si="3"/>
        <v>-0.2000000000007276</v>
      </c>
    </row>
    <row r="9" spans="1:7" x14ac:dyDescent="0.2">
      <c r="A9" s="3" t="s">
        <v>10</v>
      </c>
      <c r="B9" s="3">
        <v>4</v>
      </c>
      <c r="C9" s="3">
        <f>94.3+91.5+93.5+92.5-13.6</f>
        <v>358.2</v>
      </c>
      <c r="D9" s="3">
        <v>85</v>
      </c>
      <c r="E9" s="3">
        <f t="shared" ref="E9:E57" si="6">INT(C9*D9)</f>
        <v>30447</v>
      </c>
      <c r="F9" s="3">
        <f t="shared" ref="F9:F57" si="7">IF(INT(C9*(D9-1.5)&lt;0),0,INT(C9*(D9-1.5)))</f>
        <v>29909</v>
      </c>
      <c r="G9" s="1">
        <f t="shared" si="3"/>
        <v>0.7000000000007276</v>
      </c>
    </row>
    <row r="10" spans="1:7" x14ac:dyDescent="0.2">
      <c r="A10" s="3" t="s">
        <v>11</v>
      </c>
      <c r="B10" s="3">
        <v>2</v>
      </c>
      <c r="C10" s="3">
        <f>93+90.6-0.5</f>
        <v>183.1</v>
      </c>
      <c r="D10" s="3">
        <v>86</v>
      </c>
      <c r="E10" s="3">
        <f t="shared" si="6"/>
        <v>15746</v>
      </c>
      <c r="F10" s="3">
        <f t="shared" si="7"/>
        <v>15471</v>
      </c>
      <c r="G10" s="1">
        <f t="shared" si="3"/>
        <v>0.3500000000003638</v>
      </c>
    </row>
    <row r="11" spans="1:7" x14ac:dyDescent="0.2">
      <c r="A11" s="3" t="s">
        <v>11</v>
      </c>
      <c r="B11" s="3">
        <v>0.5</v>
      </c>
      <c r="C11" s="3">
        <v>41</v>
      </c>
      <c r="D11" s="3">
        <v>86</v>
      </c>
      <c r="E11" s="3">
        <f t="shared" si="6"/>
        <v>3526</v>
      </c>
      <c r="F11" s="3">
        <f t="shared" si="7"/>
        <v>3464</v>
      </c>
      <c r="G11" s="1">
        <f t="shared" si="3"/>
        <v>0.5</v>
      </c>
    </row>
    <row r="12" spans="1:7" x14ac:dyDescent="0.2">
      <c r="A12" s="3" t="s">
        <v>12</v>
      </c>
      <c r="B12" s="3">
        <v>4</v>
      </c>
      <c r="C12" s="3">
        <f>89.7+88.1+103.8+86.3-1</f>
        <v>366.90000000000003</v>
      </c>
      <c r="D12" s="3">
        <v>83</v>
      </c>
      <c r="E12" s="3">
        <f t="shared" ref="E12" si="8">INT(C12*D12)</f>
        <v>30452</v>
      </c>
      <c r="F12" s="3">
        <f t="shared" ref="F12" si="9">IF(INT(C12*(D12-1.5)&lt;0),0,INT(C12*(D12-1.5)))</f>
        <v>29902</v>
      </c>
    </row>
    <row r="13" spans="1:7" x14ac:dyDescent="0.2">
      <c r="A13" s="3" t="s">
        <v>13</v>
      </c>
      <c r="B13" s="3">
        <v>1</v>
      </c>
      <c r="C13" s="3">
        <v>73.599999999999994</v>
      </c>
      <c r="D13" s="3">
        <v>85</v>
      </c>
      <c r="E13" s="3">
        <f t="shared" si="6"/>
        <v>6256</v>
      </c>
      <c r="F13" s="3">
        <f t="shared" si="7"/>
        <v>6145</v>
      </c>
      <c r="G13" s="1">
        <f t="shared" si="3"/>
        <v>0.6000000000003638</v>
      </c>
    </row>
    <row r="14" spans="1:7" x14ac:dyDescent="0.2">
      <c r="A14" s="3" t="s">
        <v>14</v>
      </c>
      <c r="B14" s="3">
        <v>4</v>
      </c>
      <c r="C14" s="3">
        <f>93.5+94.9+90.8+87.8-1</f>
        <v>366</v>
      </c>
      <c r="D14" s="3">
        <v>83</v>
      </c>
      <c r="E14" s="3">
        <f t="shared" si="6"/>
        <v>30378</v>
      </c>
      <c r="F14" s="3">
        <f t="shared" si="7"/>
        <v>29829</v>
      </c>
      <c r="G14" s="1">
        <f t="shared" si="3"/>
        <v>0</v>
      </c>
    </row>
    <row r="15" spans="1:7" x14ac:dyDescent="0.2">
      <c r="A15" s="3" t="s">
        <v>8</v>
      </c>
      <c r="B15" s="3">
        <v>11.5</v>
      </c>
      <c r="C15" s="3">
        <f>79.1+84.4+80.7+82.9+80.3+83.9+89.1+91.3+85.2+76.5+108.3-6-9.7</f>
        <v>926</v>
      </c>
      <c r="D15" s="3">
        <v>85</v>
      </c>
      <c r="E15" s="3">
        <f t="shared" si="6"/>
        <v>78710</v>
      </c>
      <c r="F15" s="3">
        <f t="shared" si="7"/>
        <v>77321</v>
      </c>
      <c r="G15" s="1">
        <f t="shared" si="3"/>
        <v>0</v>
      </c>
    </row>
    <row r="16" spans="1:7" x14ac:dyDescent="0.2">
      <c r="A16" s="3" t="s">
        <v>15</v>
      </c>
      <c r="B16" s="3">
        <v>7.5</v>
      </c>
      <c r="C16" s="3">
        <f>81.8+82.2+76.4+79+76.9+81.1+121.5-2</f>
        <v>596.9</v>
      </c>
      <c r="D16" s="3">
        <v>81</v>
      </c>
      <c r="E16" s="3">
        <f t="shared" si="6"/>
        <v>48348</v>
      </c>
      <c r="F16" s="3">
        <f t="shared" si="7"/>
        <v>47453</v>
      </c>
      <c r="G16" s="1">
        <f t="shared" si="3"/>
        <v>-0.34999999999854481</v>
      </c>
    </row>
    <row r="17" spans="1:7" x14ac:dyDescent="0.2">
      <c r="A17" s="3" t="s">
        <v>16</v>
      </c>
      <c r="B17" s="3">
        <v>8</v>
      </c>
      <c r="C17" s="3">
        <f>88+86.3+92.7+89.8+105.8+82.6+84.3+97.6-4</f>
        <v>723.1</v>
      </c>
      <c r="D17" s="3">
        <v>82</v>
      </c>
      <c r="E17" s="3">
        <f t="shared" si="6"/>
        <v>59294</v>
      </c>
      <c r="F17" s="3">
        <f t="shared" si="7"/>
        <v>58209</v>
      </c>
      <c r="G17" s="1">
        <f t="shared" si="3"/>
        <v>0.34999999999854481</v>
      </c>
    </row>
    <row r="18" spans="1:7" x14ac:dyDescent="0.2">
      <c r="A18" s="3" t="s">
        <v>17</v>
      </c>
      <c r="B18" s="3">
        <v>1</v>
      </c>
      <c r="C18" s="3">
        <v>83.6</v>
      </c>
      <c r="D18" s="3">
        <v>85</v>
      </c>
      <c r="E18" s="3">
        <f t="shared" si="6"/>
        <v>7106</v>
      </c>
      <c r="F18" s="3">
        <f t="shared" si="7"/>
        <v>6980</v>
      </c>
      <c r="G18" s="1">
        <f t="shared" si="3"/>
        <v>0.6000000000003638</v>
      </c>
    </row>
    <row r="19" spans="1:7" x14ac:dyDescent="0.2">
      <c r="A19" s="3" t="s">
        <v>18</v>
      </c>
      <c r="B19" s="3">
        <v>3</v>
      </c>
      <c r="C19" s="3">
        <f>88.1+80.8+91.8-0.5</f>
        <v>260.2</v>
      </c>
      <c r="D19" s="3">
        <v>82</v>
      </c>
      <c r="E19" s="3">
        <f t="shared" si="6"/>
        <v>21336</v>
      </c>
      <c r="F19" s="3">
        <f t="shared" si="7"/>
        <v>20946</v>
      </c>
      <c r="G19" s="1">
        <f t="shared" si="3"/>
        <v>-0.2999999999992724</v>
      </c>
    </row>
    <row r="20" spans="1:7" x14ac:dyDescent="0.2">
      <c r="A20" s="3" t="s">
        <v>19</v>
      </c>
      <c r="B20" s="3">
        <v>2</v>
      </c>
      <c r="C20" s="3">
        <f>125.5+30</f>
        <v>155.5</v>
      </c>
      <c r="D20" s="3">
        <v>86</v>
      </c>
      <c r="E20" s="3">
        <f t="shared" si="6"/>
        <v>13373</v>
      </c>
      <c r="F20" s="3">
        <f t="shared" si="7"/>
        <v>13139</v>
      </c>
      <c r="G20" s="1">
        <f t="shared" si="3"/>
        <v>0.75</v>
      </c>
    </row>
    <row r="21" spans="1:7" x14ac:dyDescent="0.2">
      <c r="A21" s="3" t="s">
        <v>9</v>
      </c>
      <c r="B21" s="3">
        <v>3</v>
      </c>
      <c r="C21" s="3">
        <f>78.7+88.1+92-3</f>
        <v>255.8</v>
      </c>
      <c r="D21" s="3">
        <v>88</v>
      </c>
      <c r="E21" s="3">
        <f t="shared" si="6"/>
        <v>22510</v>
      </c>
      <c r="F21" s="3">
        <f t="shared" si="7"/>
        <v>22126</v>
      </c>
      <c r="G21" s="1">
        <f t="shared" si="3"/>
        <v>0.2999999999992724</v>
      </c>
    </row>
    <row r="22" spans="1:7" x14ac:dyDescent="0.2">
      <c r="A22" s="3" t="s">
        <v>20</v>
      </c>
      <c r="B22" s="3">
        <v>1</v>
      </c>
      <c r="C22" s="3">
        <v>87.1</v>
      </c>
      <c r="D22" s="3">
        <v>88</v>
      </c>
      <c r="E22" s="3">
        <f t="shared" si="6"/>
        <v>7664</v>
      </c>
      <c r="F22" s="3">
        <f t="shared" si="7"/>
        <v>7534</v>
      </c>
      <c r="G22" s="1">
        <f t="shared" si="3"/>
        <v>-0.6499999999996362</v>
      </c>
    </row>
    <row r="23" spans="1:7" x14ac:dyDescent="0.2">
      <c r="A23" s="3" t="s">
        <v>21</v>
      </c>
      <c r="B23" s="3">
        <v>1</v>
      </c>
      <c r="C23" s="3">
        <v>107.2</v>
      </c>
      <c r="D23" s="3">
        <v>88</v>
      </c>
      <c r="E23" s="3">
        <f t="shared" si="6"/>
        <v>9433</v>
      </c>
      <c r="F23" s="3">
        <f t="shared" si="7"/>
        <v>9272</v>
      </c>
      <c r="G23" s="1">
        <f t="shared" si="3"/>
        <v>0.2000000000007276</v>
      </c>
    </row>
    <row r="24" spans="1:7" x14ac:dyDescent="0.2">
      <c r="A24" s="3" t="s">
        <v>22</v>
      </c>
      <c r="B24" s="3">
        <v>2</v>
      </c>
      <c r="C24" s="3">
        <f>102.7+70.1</f>
        <v>172.8</v>
      </c>
      <c r="D24" s="3">
        <v>90</v>
      </c>
      <c r="E24" s="3">
        <f t="shared" si="6"/>
        <v>15552</v>
      </c>
      <c r="F24" s="3">
        <f t="shared" si="7"/>
        <v>15292</v>
      </c>
      <c r="G24" s="1">
        <f t="shared" si="3"/>
        <v>0.7999999999992724</v>
      </c>
    </row>
    <row r="25" spans="1:7" x14ac:dyDescent="0.2">
      <c r="A25" s="3" t="s">
        <v>23</v>
      </c>
      <c r="B25" s="3">
        <v>1</v>
      </c>
      <c r="C25" s="3">
        <v>84.9</v>
      </c>
      <c r="D25" s="3">
        <v>87</v>
      </c>
      <c r="E25" s="3">
        <f t="shared" si="6"/>
        <v>7386</v>
      </c>
      <c r="F25" s="3">
        <f t="shared" si="7"/>
        <v>7258</v>
      </c>
      <c r="G25" s="1">
        <f t="shared" si="3"/>
        <v>0.6499999999996362</v>
      </c>
    </row>
    <row r="26" spans="1:7" x14ac:dyDescent="0.2">
      <c r="A26" s="3" t="s">
        <v>23</v>
      </c>
      <c r="B26" s="3">
        <v>1</v>
      </c>
      <c r="C26" s="3">
        <v>77.8</v>
      </c>
      <c r="D26" s="3">
        <v>83</v>
      </c>
      <c r="E26" s="3">
        <f t="shared" si="6"/>
        <v>6457</v>
      </c>
      <c r="F26" s="3">
        <f t="shared" si="7"/>
        <v>6340</v>
      </c>
      <c r="G26" s="1">
        <f t="shared" si="3"/>
        <v>0.3000000000001819</v>
      </c>
    </row>
    <row r="27" spans="1:7" x14ac:dyDescent="0.2">
      <c r="A27" s="3" t="s">
        <v>18</v>
      </c>
      <c r="B27" s="3">
        <v>1</v>
      </c>
      <c r="C27" s="3">
        <v>111.8</v>
      </c>
      <c r="D27" s="3">
        <v>85</v>
      </c>
      <c r="E27" s="3">
        <f t="shared" si="6"/>
        <v>9503</v>
      </c>
      <c r="F27" s="3">
        <f t="shared" si="7"/>
        <v>9335</v>
      </c>
      <c r="G27" s="1">
        <f t="shared" si="3"/>
        <v>0.2999999999992724</v>
      </c>
    </row>
    <row r="28" spans="1:7" x14ac:dyDescent="0.2">
      <c r="A28" s="3" t="s">
        <v>7</v>
      </c>
      <c r="B28" s="3">
        <v>1.5</v>
      </c>
      <c r="C28" s="3">
        <v>135.1</v>
      </c>
      <c r="D28" s="3">
        <v>85</v>
      </c>
      <c r="E28" s="3">
        <f t="shared" si="6"/>
        <v>11483</v>
      </c>
      <c r="F28" s="3">
        <f t="shared" si="7"/>
        <v>11280</v>
      </c>
      <c r="G28" s="1">
        <f t="shared" si="3"/>
        <v>0.3500000000003638</v>
      </c>
    </row>
    <row r="29" spans="1:7" x14ac:dyDescent="0.2">
      <c r="A29" s="3" t="s">
        <v>24</v>
      </c>
      <c r="C29" s="3">
        <v>54.8</v>
      </c>
      <c r="D29" s="3">
        <v>81</v>
      </c>
      <c r="E29" s="3">
        <f t="shared" si="6"/>
        <v>4438</v>
      </c>
      <c r="F29" s="3">
        <f t="shared" si="7"/>
        <v>4356</v>
      </c>
      <c r="G29" s="1">
        <f t="shared" si="3"/>
        <v>-0.1999999999998181</v>
      </c>
    </row>
    <row r="30" spans="1:7" x14ac:dyDescent="0.2">
      <c r="A30" s="3" t="s">
        <v>25</v>
      </c>
      <c r="C30" s="3">
        <v>12.6</v>
      </c>
      <c r="D30" s="3">
        <v>80</v>
      </c>
      <c r="E30" s="3">
        <f t="shared" si="6"/>
        <v>1008</v>
      </c>
      <c r="F30" s="3">
        <f t="shared" si="7"/>
        <v>989</v>
      </c>
      <c r="G30" s="1">
        <f t="shared" si="3"/>
        <v>0.10000000000002274</v>
      </c>
    </row>
    <row r="31" spans="1:7" x14ac:dyDescent="0.2">
      <c r="A31" s="3" t="s">
        <v>26</v>
      </c>
      <c r="B31" s="3">
        <v>1.5</v>
      </c>
      <c r="C31" s="3">
        <v>152.6</v>
      </c>
      <c r="D31" s="3">
        <v>85</v>
      </c>
      <c r="E31" s="3">
        <f t="shared" si="6"/>
        <v>12971</v>
      </c>
      <c r="F31" s="3">
        <f t="shared" si="7"/>
        <v>12742</v>
      </c>
      <c r="G31" s="1">
        <f t="shared" si="3"/>
        <v>0.1000000000003638</v>
      </c>
    </row>
    <row r="32" spans="1:7" x14ac:dyDescent="0.2">
      <c r="A32" s="3" t="s">
        <v>27</v>
      </c>
      <c r="C32" s="3">
        <v>12.5</v>
      </c>
      <c r="D32" s="3">
        <v>82</v>
      </c>
      <c r="E32" s="3">
        <f t="shared" si="6"/>
        <v>1025</v>
      </c>
      <c r="F32" s="3">
        <f t="shared" si="7"/>
        <v>1006</v>
      </c>
      <c r="G32" s="1">
        <f t="shared" si="3"/>
        <v>0.25</v>
      </c>
    </row>
    <row r="33" spans="1:7" x14ac:dyDescent="0.2">
      <c r="A33" s="3" t="s">
        <v>28</v>
      </c>
      <c r="B33" s="3">
        <v>0.5</v>
      </c>
      <c r="C33" s="3">
        <v>26.1</v>
      </c>
      <c r="D33" s="3">
        <v>88</v>
      </c>
      <c r="E33" s="3">
        <f t="shared" si="6"/>
        <v>2296</v>
      </c>
      <c r="F33" s="3">
        <f t="shared" si="7"/>
        <v>2257</v>
      </c>
      <c r="G33" s="1">
        <f t="shared" si="3"/>
        <v>-0.15000000000009095</v>
      </c>
    </row>
    <row r="34" spans="1:7" x14ac:dyDescent="0.2">
      <c r="A34" s="3" t="s">
        <v>29</v>
      </c>
      <c r="B34" s="3">
        <v>3</v>
      </c>
      <c r="C34" s="3">
        <f>69.7+82.4+86.4-0.5</f>
        <v>238.00000000000003</v>
      </c>
      <c r="D34" s="3">
        <v>80</v>
      </c>
      <c r="E34" s="3">
        <f t="shared" si="6"/>
        <v>19040</v>
      </c>
      <c r="F34" s="3">
        <f t="shared" si="7"/>
        <v>18683</v>
      </c>
      <c r="G34" s="1">
        <f t="shared" si="3"/>
        <v>0</v>
      </c>
    </row>
    <row r="35" spans="1:7" x14ac:dyDescent="0.2">
      <c r="A35" s="3" t="s">
        <v>30</v>
      </c>
      <c r="B35" s="3">
        <v>6</v>
      </c>
      <c r="C35" s="3">
        <f>87.9+89.5+86.4+82.2+83.5+86.5-1</f>
        <v>515</v>
      </c>
      <c r="D35" s="3">
        <v>80</v>
      </c>
      <c r="E35" s="3">
        <f t="shared" si="6"/>
        <v>41200</v>
      </c>
      <c r="F35" s="3">
        <f t="shared" si="7"/>
        <v>40427</v>
      </c>
      <c r="G35" s="1">
        <f t="shared" si="3"/>
        <v>0.5</v>
      </c>
    </row>
    <row r="36" spans="1:7" x14ac:dyDescent="0.2">
      <c r="A36" s="3" t="s">
        <v>31</v>
      </c>
      <c r="B36" s="3">
        <v>5</v>
      </c>
      <c r="C36" s="3">
        <f>100.4+99.3+94.2+90+80-1-2</f>
        <v>460.9</v>
      </c>
      <c r="D36" s="3">
        <v>76</v>
      </c>
      <c r="E36" s="3">
        <f t="shared" si="6"/>
        <v>35028</v>
      </c>
      <c r="F36" s="3">
        <f t="shared" si="7"/>
        <v>34337</v>
      </c>
      <c r="G36" s="1">
        <f t="shared" si="3"/>
        <v>-0.34999999999854481</v>
      </c>
    </row>
    <row r="37" spans="1:7" x14ac:dyDescent="0.2">
      <c r="A37" s="3" t="s">
        <v>32</v>
      </c>
      <c r="G37" s="1">
        <f t="shared" si="3"/>
        <v>0</v>
      </c>
    </row>
    <row r="38" spans="1:7" x14ac:dyDescent="0.2">
      <c r="G38" s="1">
        <f t="shared" si="3"/>
        <v>0</v>
      </c>
    </row>
    <row r="39" spans="1:7" ht="12" customHeight="1" x14ac:dyDescent="0.2">
      <c r="G39" s="1">
        <f t="shared" si="3"/>
        <v>0</v>
      </c>
    </row>
    <row r="40" spans="1:7" x14ac:dyDescent="0.2">
      <c r="G40" s="1">
        <f t="shared" si="3"/>
        <v>0</v>
      </c>
    </row>
    <row r="41" spans="1:7" x14ac:dyDescent="0.2">
      <c r="A41" s="3" t="s">
        <v>33</v>
      </c>
      <c r="B41" s="3">
        <v>0.5</v>
      </c>
      <c r="C41" s="3">
        <v>38</v>
      </c>
      <c r="D41" s="3">
        <v>82</v>
      </c>
      <c r="E41" s="3">
        <f t="shared" si="6"/>
        <v>3116</v>
      </c>
      <c r="F41" s="3">
        <f t="shared" si="7"/>
        <v>3059</v>
      </c>
      <c r="G41" s="1">
        <f t="shared" si="3"/>
        <v>0</v>
      </c>
    </row>
    <row r="42" spans="1:7" x14ac:dyDescent="0.2">
      <c r="A42" s="3" t="s">
        <v>34</v>
      </c>
      <c r="B42" s="3">
        <v>1</v>
      </c>
      <c r="C42" s="3">
        <v>50.9</v>
      </c>
      <c r="D42" s="3">
        <v>81</v>
      </c>
      <c r="E42" s="3">
        <f t="shared" si="6"/>
        <v>4122</v>
      </c>
      <c r="F42" s="3">
        <f t="shared" si="7"/>
        <v>4046</v>
      </c>
      <c r="G42" s="1">
        <f t="shared" si="3"/>
        <v>-0.34999999999990905</v>
      </c>
    </row>
    <row r="43" spans="1:7" x14ac:dyDescent="0.2">
      <c r="A43" s="3" t="s">
        <v>35</v>
      </c>
      <c r="B43" s="3">
        <v>1</v>
      </c>
      <c r="C43" s="3">
        <v>79.900000000000006</v>
      </c>
      <c r="D43" s="3">
        <v>80</v>
      </c>
      <c r="E43" s="3">
        <f t="shared" si="6"/>
        <v>6392</v>
      </c>
      <c r="F43" s="3">
        <f t="shared" si="7"/>
        <v>6272</v>
      </c>
      <c r="G43" s="1">
        <f t="shared" si="3"/>
        <v>0.1499999999996362</v>
      </c>
    </row>
    <row r="44" spans="1:7" x14ac:dyDescent="0.2">
      <c r="A44" s="3" t="s">
        <v>36</v>
      </c>
      <c r="B44" s="3">
        <v>0.5</v>
      </c>
      <c r="C44" s="3">
        <v>39.299999999999997</v>
      </c>
      <c r="D44" s="3">
        <v>80</v>
      </c>
      <c r="E44" s="3">
        <f t="shared" si="6"/>
        <v>3144</v>
      </c>
      <c r="F44" s="3">
        <f t="shared" si="7"/>
        <v>3085</v>
      </c>
      <c r="G44" s="1">
        <f t="shared" si="3"/>
        <v>5.0000000000181899E-2</v>
      </c>
    </row>
    <row r="45" spans="1:7" x14ac:dyDescent="0.2">
      <c r="A45" s="3" t="s">
        <v>37</v>
      </c>
      <c r="B45" s="3">
        <v>0.5</v>
      </c>
      <c r="C45" s="3">
        <v>36.4</v>
      </c>
      <c r="D45" s="3">
        <v>80</v>
      </c>
      <c r="E45" s="3">
        <f t="shared" si="6"/>
        <v>2912</v>
      </c>
      <c r="F45" s="3">
        <f t="shared" si="7"/>
        <v>2857</v>
      </c>
      <c r="G45" s="1">
        <f t="shared" si="3"/>
        <v>0.40000000000009095</v>
      </c>
    </row>
    <row r="46" spans="1:7" x14ac:dyDescent="0.2">
      <c r="A46" s="3" t="s">
        <v>38</v>
      </c>
      <c r="B46" s="3">
        <v>0.5</v>
      </c>
      <c r="C46" s="3">
        <v>40.799999999999997</v>
      </c>
      <c r="D46" s="3">
        <v>80</v>
      </c>
      <c r="E46" s="3">
        <f t="shared" si="6"/>
        <v>3264</v>
      </c>
      <c r="F46" s="3">
        <f t="shared" si="7"/>
        <v>3202</v>
      </c>
      <c r="G46" s="1">
        <f t="shared" si="3"/>
        <v>0.8000000000001819</v>
      </c>
    </row>
    <row r="47" spans="1:7" x14ac:dyDescent="0.2">
      <c r="A47" s="3" t="s">
        <v>39</v>
      </c>
      <c r="B47" s="3">
        <v>0.5</v>
      </c>
      <c r="C47" s="3">
        <v>37.799999999999997</v>
      </c>
      <c r="D47" s="3">
        <v>80</v>
      </c>
      <c r="E47" s="3">
        <f t="shared" si="6"/>
        <v>3024</v>
      </c>
      <c r="F47" s="3">
        <f t="shared" si="7"/>
        <v>2967</v>
      </c>
      <c r="G47" s="1">
        <f t="shared" si="3"/>
        <v>0.3000000000001819</v>
      </c>
    </row>
    <row r="48" spans="1:7" x14ac:dyDescent="0.2">
      <c r="A48" s="3" t="s">
        <v>40</v>
      </c>
      <c r="B48" s="3">
        <v>0.5</v>
      </c>
      <c r="C48" s="3">
        <v>38.700000000000003</v>
      </c>
      <c r="D48" s="3">
        <v>80</v>
      </c>
      <c r="E48" s="3">
        <f t="shared" si="6"/>
        <v>3096</v>
      </c>
      <c r="F48" s="3">
        <f t="shared" si="7"/>
        <v>3037</v>
      </c>
      <c r="G48" s="1">
        <f t="shared" si="3"/>
        <v>0.9499999999998181</v>
      </c>
    </row>
    <row r="49" spans="1:7" x14ac:dyDescent="0.2">
      <c r="A49" s="3" t="s">
        <v>41</v>
      </c>
      <c r="B49" s="3">
        <v>1</v>
      </c>
      <c r="C49" s="3">
        <v>71.7</v>
      </c>
      <c r="D49" s="3">
        <v>81</v>
      </c>
      <c r="E49" s="3">
        <f t="shared" si="6"/>
        <v>5807</v>
      </c>
      <c r="F49" s="3">
        <f t="shared" si="7"/>
        <v>5700</v>
      </c>
      <c r="G49" s="1">
        <f t="shared" si="3"/>
        <v>-0.5500000000001819</v>
      </c>
    </row>
    <row r="50" spans="1:7" x14ac:dyDescent="0.2">
      <c r="A50" s="3" t="s">
        <v>42</v>
      </c>
      <c r="B50" s="3">
        <v>0.5</v>
      </c>
      <c r="C50" s="3">
        <v>62</v>
      </c>
      <c r="D50" s="3">
        <v>79</v>
      </c>
      <c r="E50" s="3">
        <f t="shared" si="6"/>
        <v>4898</v>
      </c>
      <c r="F50" s="3">
        <f t="shared" si="7"/>
        <v>4805</v>
      </c>
      <c r="G50" s="1">
        <f t="shared" si="3"/>
        <v>0</v>
      </c>
    </row>
    <row r="51" spans="1:7" x14ac:dyDescent="0.2">
      <c r="A51" s="3" t="s">
        <v>43</v>
      </c>
      <c r="B51" s="3">
        <v>1.5</v>
      </c>
      <c r="C51" s="3">
        <v>136.80000000000001</v>
      </c>
      <c r="D51" s="3">
        <v>78</v>
      </c>
      <c r="E51" s="3">
        <f t="shared" si="6"/>
        <v>10670</v>
      </c>
      <c r="F51" s="3">
        <f t="shared" si="7"/>
        <v>10465</v>
      </c>
      <c r="G51" s="1">
        <f t="shared" si="3"/>
        <v>-0.2000000000007276</v>
      </c>
    </row>
    <row r="52" spans="1:7" x14ac:dyDescent="0.2">
      <c r="A52" s="3" t="s">
        <v>44</v>
      </c>
      <c r="G52" s="1">
        <f t="shared" si="3"/>
        <v>0</v>
      </c>
    </row>
    <row r="53" spans="1:7" x14ac:dyDescent="0.2">
      <c r="G53" s="1">
        <f t="shared" si="3"/>
        <v>0</v>
      </c>
    </row>
    <row r="54" spans="1:7" x14ac:dyDescent="0.2">
      <c r="G54" s="1">
        <f t="shared" si="3"/>
        <v>0</v>
      </c>
    </row>
    <row r="55" spans="1:7" x14ac:dyDescent="0.2">
      <c r="G55" s="1">
        <f t="shared" si="3"/>
        <v>0</v>
      </c>
    </row>
    <row r="56" spans="1:7" x14ac:dyDescent="0.2">
      <c r="E56" s="3">
        <f t="shared" si="6"/>
        <v>0</v>
      </c>
      <c r="F56" s="3">
        <f t="shared" si="7"/>
        <v>0</v>
      </c>
      <c r="G56" s="1">
        <f t="shared" si="3"/>
        <v>0</v>
      </c>
    </row>
    <row r="57" spans="1:7" x14ac:dyDescent="0.2">
      <c r="E57" s="3">
        <f t="shared" si="6"/>
        <v>0</v>
      </c>
      <c r="F57" s="3">
        <f t="shared" si="7"/>
        <v>0</v>
      </c>
      <c r="G57" s="1">
        <f t="shared" si="3"/>
        <v>0</v>
      </c>
    </row>
    <row r="58" spans="1:7" x14ac:dyDescent="0.2">
      <c r="E58" s="3">
        <f t="shared" ref="E58:E121" si="10">INT(C58*D58)</f>
        <v>0</v>
      </c>
      <c r="F58" s="3">
        <f t="shared" ref="F58:F121" si="11">IF(INT(C58*(D58-1.5)&lt;0),0,INT(C58*(D58-1.5)))</f>
        <v>0</v>
      </c>
      <c r="G58" s="1">
        <f t="shared" ref="G58:G121" si="12">E58-(C58*1.5)-F58</f>
        <v>0</v>
      </c>
    </row>
    <row r="59" spans="1:7" x14ac:dyDescent="0.2">
      <c r="E59" s="3">
        <f t="shared" si="10"/>
        <v>0</v>
      </c>
      <c r="F59" s="3">
        <f t="shared" si="11"/>
        <v>0</v>
      </c>
      <c r="G59" s="1">
        <f t="shared" si="12"/>
        <v>0</v>
      </c>
    </row>
    <row r="60" spans="1:7" x14ac:dyDescent="0.2">
      <c r="E60" s="3">
        <f t="shared" si="10"/>
        <v>0</v>
      </c>
      <c r="F60" s="3">
        <f t="shared" si="11"/>
        <v>0</v>
      </c>
      <c r="G60" s="1">
        <f t="shared" si="12"/>
        <v>0</v>
      </c>
    </row>
    <row r="61" spans="1:7" x14ac:dyDescent="0.2">
      <c r="E61" s="3">
        <f t="shared" si="10"/>
        <v>0</v>
      </c>
      <c r="F61" s="3">
        <f t="shared" si="11"/>
        <v>0</v>
      </c>
      <c r="G61" s="1">
        <f t="shared" si="12"/>
        <v>0</v>
      </c>
    </row>
    <row r="62" spans="1:7" x14ac:dyDescent="0.2">
      <c r="E62" s="3">
        <f t="shared" si="10"/>
        <v>0</v>
      </c>
      <c r="F62" s="3">
        <f t="shared" si="11"/>
        <v>0</v>
      </c>
      <c r="G62" s="1">
        <f t="shared" si="12"/>
        <v>0</v>
      </c>
    </row>
    <row r="63" spans="1:7" x14ac:dyDescent="0.2">
      <c r="E63" s="3">
        <f t="shared" si="10"/>
        <v>0</v>
      </c>
      <c r="F63" s="3">
        <f t="shared" si="11"/>
        <v>0</v>
      </c>
      <c r="G63" s="1">
        <f t="shared" si="12"/>
        <v>0</v>
      </c>
    </row>
    <row r="64" spans="1:7" x14ac:dyDescent="0.2">
      <c r="E64" s="3">
        <f t="shared" si="10"/>
        <v>0</v>
      </c>
      <c r="F64" s="3">
        <f t="shared" si="11"/>
        <v>0</v>
      </c>
      <c r="G64" s="1">
        <f t="shared" si="12"/>
        <v>0</v>
      </c>
    </row>
    <row r="65" spans="5:7" x14ac:dyDescent="0.2">
      <c r="E65" s="3">
        <f t="shared" si="10"/>
        <v>0</v>
      </c>
      <c r="F65" s="3">
        <f t="shared" si="11"/>
        <v>0</v>
      </c>
      <c r="G65" s="1">
        <f t="shared" si="12"/>
        <v>0</v>
      </c>
    </row>
    <row r="66" spans="5:7" x14ac:dyDescent="0.2">
      <c r="E66" s="3">
        <f t="shared" si="10"/>
        <v>0</v>
      </c>
      <c r="F66" s="3">
        <f t="shared" si="11"/>
        <v>0</v>
      </c>
      <c r="G66" s="1">
        <f t="shared" si="12"/>
        <v>0</v>
      </c>
    </row>
    <row r="67" spans="5:7" x14ac:dyDescent="0.2">
      <c r="E67" s="3">
        <f t="shared" si="10"/>
        <v>0</v>
      </c>
      <c r="F67" s="3">
        <f t="shared" si="11"/>
        <v>0</v>
      </c>
      <c r="G67" s="1">
        <f t="shared" si="12"/>
        <v>0</v>
      </c>
    </row>
    <row r="68" spans="5:7" x14ac:dyDescent="0.2">
      <c r="E68" s="3">
        <f t="shared" si="10"/>
        <v>0</v>
      </c>
      <c r="F68" s="3">
        <f t="shared" si="11"/>
        <v>0</v>
      </c>
      <c r="G68" s="1">
        <f t="shared" si="12"/>
        <v>0</v>
      </c>
    </row>
    <row r="69" spans="5:7" x14ac:dyDescent="0.2">
      <c r="E69" s="3">
        <f t="shared" si="10"/>
        <v>0</v>
      </c>
      <c r="F69" s="3">
        <f t="shared" si="11"/>
        <v>0</v>
      </c>
      <c r="G69" s="1">
        <f t="shared" si="12"/>
        <v>0</v>
      </c>
    </row>
    <row r="70" spans="5:7" x14ac:dyDescent="0.2">
      <c r="E70" s="3">
        <f t="shared" si="10"/>
        <v>0</v>
      </c>
      <c r="F70" s="3">
        <f t="shared" si="11"/>
        <v>0</v>
      </c>
      <c r="G70" s="1">
        <f t="shared" si="12"/>
        <v>0</v>
      </c>
    </row>
    <row r="71" spans="5:7" x14ac:dyDescent="0.2">
      <c r="E71" s="3">
        <f t="shared" si="10"/>
        <v>0</v>
      </c>
      <c r="F71" s="3">
        <f t="shared" si="11"/>
        <v>0</v>
      </c>
      <c r="G71" s="1">
        <f t="shared" si="12"/>
        <v>0</v>
      </c>
    </row>
    <row r="72" spans="5:7" x14ac:dyDescent="0.2">
      <c r="E72" s="3">
        <f t="shared" si="10"/>
        <v>0</v>
      </c>
      <c r="F72" s="3">
        <f t="shared" si="11"/>
        <v>0</v>
      </c>
      <c r="G72" s="1">
        <f t="shared" si="12"/>
        <v>0</v>
      </c>
    </row>
    <row r="73" spans="5:7" x14ac:dyDescent="0.2">
      <c r="E73" s="3">
        <f t="shared" si="10"/>
        <v>0</v>
      </c>
      <c r="F73" s="3">
        <f t="shared" si="11"/>
        <v>0</v>
      </c>
      <c r="G73" s="1">
        <f t="shared" si="12"/>
        <v>0</v>
      </c>
    </row>
    <row r="74" spans="5:7" x14ac:dyDescent="0.2">
      <c r="E74" s="3">
        <f t="shared" si="10"/>
        <v>0</v>
      </c>
      <c r="F74" s="3">
        <f t="shared" si="11"/>
        <v>0</v>
      </c>
      <c r="G74" s="1">
        <f t="shared" si="12"/>
        <v>0</v>
      </c>
    </row>
    <row r="75" spans="5:7" x14ac:dyDescent="0.2">
      <c r="E75" s="3">
        <f t="shared" si="10"/>
        <v>0</v>
      </c>
      <c r="F75" s="3">
        <f t="shared" si="11"/>
        <v>0</v>
      </c>
      <c r="G75" s="1">
        <f t="shared" si="12"/>
        <v>0</v>
      </c>
    </row>
    <row r="76" spans="5:7" x14ac:dyDescent="0.2">
      <c r="E76" s="3">
        <f t="shared" si="10"/>
        <v>0</v>
      </c>
      <c r="F76" s="3">
        <f t="shared" si="11"/>
        <v>0</v>
      </c>
      <c r="G76" s="1">
        <f t="shared" si="12"/>
        <v>0</v>
      </c>
    </row>
    <row r="77" spans="5:7" x14ac:dyDescent="0.2">
      <c r="E77" s="3">
        <f t="shared" si="10"/>
        <v>0</v>
      </c>
      <c r="F77" s="3">
        <f t="shared" si="11"/>
        <v>0</v>
      </c>
      <c r="G77" s="1">
        <f t="shared" si="12"/>
        <v>0</v>
      </c>
    </row>
    <row r="78" spans="5:7" x14ac:dyDescent="0.2">
      <c r="E78" s="3">
        <f t="shared" si="10"/>
        <v>0</v>
      </c>
      <c r="F78" s="3">
        <f t="shared" si="11"/>
        <v>0</v>
      </c>
      <c r="G78" s="1">
        <f t="shared" si="12"/>
        <v>0</v>
      </c>
    </row>
    <row r="79" spans="5:7" x14ac:dyDescent="0.2">
      <c r="E79" s="3">
        <f t="shared" si="10"/>
        <v>0</v>
      </c>
      <c r="F79" s="3">
        <f t="shared" si="11"/>
        <v>0</v>
      </c>
      <c r="G79" s="1">
        <f t="shared" si="12"/>
        <v>0</v>
      </c>
    </row>
    <row r="80" spans="5:7" x14ac:dyDescent="0.2">
      <c r="E80" s="3">
        <f t="shared" si="10"/>
        <v>0</v>
      </c>
      <c r="F80" s="3">
        <f t="shared" si="11"/>
        <v>0</v>
      </c>
      <c r="G80" s="1">
        <f t="shared" si="12"/>
        <v>0</v>
      </c>
    </row>
    <row r="81" spans="5:7" x14ac:dyDescent="0.2">
      <c r="E81" s="3">
        <f t="shared" si="10"/>
        <v>0</v>
      </c>
      <c r="F81" s="3">
        <f t="shared" si="11"/>
        <v>0</v>
      </c>
      <c r="G81" s="1">
        <f t="shared" si="12"/>
        <v>0</v>
      </c>
    </row>
    <row r="82" spans="5:7" x14ac:dyDescent="0.2">
      <c r="E82" s="3">
        <f t="shared" si="10"/>
        <v>0</v>
      </c>
      <c r="F82" s="3">
        <f t="shared" si="11"/>
        <v>0</v>
      </c>
      <c r="G82" s="1">
        <f t="shared" si="12"/>
        <v>0</v>
      </c>
    </row>
    <row r="83" spans="5:7" x14ac:dyDescent="0.2">
      <c r="E83" s="3">
        <f t="shared" si="10"/>
        <v>0</v>
      </c>
      <c r="F83" s="3">
        <f t="shared" si="11"/>
        <v>0</v>
      </c>
      <c r="G83" s="1">
        <f t="shared" si="12"/>
        <v>0</v>
      </c>
    </row>
    <row r="84" spans="5:7" x14ac:dyDescent="0.2">
      <c r="E84" s="3">
        <f t="shared" si="10"/>
        <v>0</v>
      </c>
      <c r="F84" s="3">
        <f t="shared" si="11"/>
        <v>0</v>
      </c>
      <c r="G84" s="1">
        <f t="shared" si="12"/>
        <v>0</v>
      </c>
    </row>
    <row r="85" spans="5:7" x14ac:dyDescent="0.2">
      <c r="E85" s="3">
        <f t="shared" si="10"/>
        <v>0</v>
      </c>
      <c r="F85" s="3">
        <f t="shared" si="11"/>
        <v>0</v>
      </c>
      <c r="G85" s="1">
        <f t="shared" si="12"/>
        <v>0</v>
      </c>
    </row>
    <row r="86" spans="5:7" x14ac:dyDescent="0.2">
      <c r="E86" s="3">
        <f t="shared" si="10"/>
        <v>0</v>
      </c>
      <c r="F86" s="3">
        <f t="shared" si="11"/>
        <v>0</v>
      </c>
      <c r="G86" s="1">
        <f t="shared" si="12"/>
        <v>0</v>
      </c>
    </row>
    <row r="87" spans="5:7" x14ac:dyDescent="0.2">
      <c r="E87" s="3">
        <f t="shared" si="10"/>
        <v>0</v>
      </c>
      <c r="F87" s="3">
        <f t="shared" si="11"/>
        <v>0</v>
      </c>
      <c r="G87" s="1">
        <f t="shared" si="12"/>
        <v>0</v>
      </c>
    </row>
    <row r="88" spans="5:7" x14ac:dyDescent="0.2">
      <c r="E88" s="3">
        <f t="shared" si="10"/>
        <v>0</v>
      </c>
      <c r="F88" s="3">
        <f t="shared" si="11"/>
        <v>0</v>
      </c>
      <c r="G88" s="1">
        <f t="shared" si="12"/>
        <v>0</v>
      </c>
    </row>
    <row r="89" spans="5:7" x14ac:dyDescent="0.2">
      <c r="E89" s="3">
        <f t="shared" si="10"/>
        <v>0</v>
      </c>
      <c r="F89" s="3">
        <f t="shared" si="11"/>
        <v>0</v>
      </c>
      <c r="G89" s="1">
        <f t="shared" si="12"/>
        <v>0</v>
      </c>
    </row>
    <row r="90" spans="5:7" x14ac:dyDescent="0.2">
      <c r="E90" s="3">
        <f t="shared" si="10"/>
        <v>0</v>
      </c>
      <c r="F90" s="3">
        <f t="shared" si="11"/>
        <v>0</v>
      </c>
      <c r="G90" s="1">
        <f t="shared" si="12"/>
        <v>0</v>
      </c>
    </row>
    <row r="91" spans="5:7" x14ac:dyDescent="0.2">
      <c r="E91" s="3">
        <f t="shared" si="10"/>
        <v>0</v>
      </c>
      <c r="F91" s="3">
        <f t="shared" si="11"/>
        <v>0</v>
      </c>
      <c r="G91" s="1">
        <f t="shared" si="12"/>
        <v>0</v>
      </c>
    </row>
    <row r="92" spans="5:7" x14ac:dyDescent="0.2">
      <c r="E92" s="3">
        <f t="shared" si="10"/>
        <v>0</v>
      </c>
      <c r="F92" s="3">
        <f t="shared" si="11"/>
        <v>0</v>
      </c>
      <c r="G92" s="1">
        <f t="shared" si="12"/>
        <v>0</v>
      </c>
    </row>
    <row r="93" spans="5:7" x14ac:dyDescent="0.2">
      <c r="E93" s="3">
        <f t="shared" si="10"/>
        <v>0</v>
      </c>
      <c r="F93" s="3">
        <f t="shared" si="11"/>
        <v>0</v>
      </c>
      <c r="G93" s="1">
        <f t="shared" si="12"/>
        <v>0</v>
      </c>
    </row>
    <row r="94" spans="5:7" x14ac:dyDescent="0.2">
      <c r="E94" s="3">
        <f t="shared" si="10"/>
        <v>0</v>
      </c>
      <c r="F94" s="3">
        <f t="shared" si="11"/>
        <v>0</v>
      </c>
      <c r="G94" s="1">
        <f t="shared" si="12"/>
        <v>0</v>
      </c>
    </row>
    <row r="95" spans="5:7" x14ac:dyDescent="0.2">
      <c r="E95" s="3">
        <f t="shared" si="10"/>
        <v>0</v>
      </c>
      <c r="F95" s="3">
        <f t="shared" si="11"/>
        <v>0</v>
      </c>
      <c r="G95" s="1">
        <f t="shared" si="12"/>
        <v>0</v>
      </c>
    </row>
    <row r="96" spans="5:7" x14ac:dyDescent="0.2">
      <c r="E96" s="3">
        <f t="shared" si="10"/>
        <v>0</v>
      </c>
      <c r="F96" s="3">
        <f t="shared" si="11"/>
        <v>0</v>
      </c>
      <c r="G96" s="1">
        <f t="shared" si="12"/>
        <v>0</v>
      </c>
    </row>
    <row r="97" spans="5:7" x14ac:dyDescent="0.2">
      <c r="E97" s="3">
        <f t="shared" si="10"/>
        <v>0</v>
      </c>
      <c r="F97" s="3">
        <f t="shared" si="11"/>
        <v>0</v>
      </c>
      <c r="G97" s="1">
        <f t="shared" si="12"/>
        <v>0</v>
      </c>
    </row>
    <row r="98" spans="5:7" x14ac:dyDescent="0.2">
      <c r="E98" s="3">
        <f t="shared" si="10"/>
        <v>0</v>
      </c>
      <c r="F98" s="3">
        <f t="shared" si="11"/>
        <v>0</v>
      </c>
      <c r="G98" s="1">
        <f t="shared" si="12"/>
        <v>0</v>
      </c>
    </row>
    <row r="99" spans="5:7" x14ac:dyDescent="0.2">
      <c r="E99" s="3">
        <f t="shared" si="10"/>
        <v>0</v>
      </c>
      <c r="F99" s="3">
        <f t="shared" si="11"/>
        <v>0</v>
      </c>
      <c r="G99" s="1">
        <f t="shared" si="12"/>
        <v>0</v>
      </c>
    </row>
    <row r="100" spans="5:7" x14ac:dyDescent="0.2">
      <c r="E100" s="3">
        <f t="shared" si="10"/>
        <v>0</v>
      </c>
      <c r="F100" s="3">
        <f t="shared" si="11"/>
        <v>0</v>
      </c>
      <c r="G100" s="1">
        <f t="shared" si="12"/>
        <v>0</v>
      </c>
    </row>
    <row r="101" spans="5:7" x14ac:dyDescent="0.2">
      <c r="E101" s="3">
        <f t="shared" si="10"/>
        <v>0</v>
      </c>
      <c r="F101" s="3">
        <f t="shared" si="11"/>
        <v>0</v>
      </c>
      <c r="G101" s="1">
        <f t="shared" si="12"/>
        <v>0</v>
      </c>
    </row>
    <row r="102" spans="5:7" x14ac:dyDescent="0.2">
      <c r="E102" s="3">
        <f t="shared" si="10"/>
        <v>0</v>
      </c>
      <c r="F102" s="3">
        <f t="shared" si="11"/>
        <v>0</v>
      </c>
      <c r="G102" s="1">
        <f t="shared" si="12"/>
        <v>0</v>
      </c>
    </row>
    <row r="103" spans="5:7" x14ac:dyDescent="0.2">
      <c r="E103" s="3">
        <f t="shared" si="10"/>
        <v>0</v>
      </c>
      <c r="F103" s="3">
        <f t="shared" si="11"/>
        <v>0</v>
      </c>
      <c r="G103" s="1">
        <f t="shared" si="12"/>
        <v>0</v>
      </c>
    </row>
    <row r="104" spans="5:7" x14ac:dyDescent="0.2">
      <c r="E104" s="3">
        <f t="shared" si="10"/>
        <v>0</v>
      </c>
      <c r="F104" s="3">
        <f t="shared" si="11"/>
        <v>0</v>
      </c>
      <c r="G104" s="1">
        <f t="shared" si="12"/>
        <v>0</v>
      </c>
    </row>
    <row r="105" spans="5:7" x14ac:dyDescent="0.2">
      <c r="E105" s="3">
        <f t="shared" si="10"/>
        <v>0</v>
      </c>
      <c r="F105" s="3">
        <f t="shared" si="11"/>
        <v>0</v>
      </c>
      <c r="G105" s="1">
        <f t="shared" si="12"/>
        <v>0</v>
      </c>
    </row>
    <row r="106" spans="5:7" x14ac:dyDescent="0.2">
      <c r="E106" s="3">
        <f t="shared" si="10"/>
        <v>0</v>
      </c>
      <c r="F106" s="3">
        <f t="shared" si="11"/>
        <v>0</v>
      </c>
      <c r="G106" s="1">
        <f t="shared" si="12"/>
        <v>0</v>
      </c>
    </row>
    <row r="107" spans="5:7" x14ac:dyDescent="0.2">
      <c r="E107" s="3">
        <f t="shared" si="10"/>
        <v>0</v>
      </c>
      <c r="F107" s="3">
        <f t="shared" si="11"/>
        <v>0</v>
      </c>
      <c r="G107" s="1">
        <f t="shared" si="12"/>
        <v>0</v>
      </c>
    </row>
    <row r="108" spans="5:7" x14ac:dyDescent="0.2">
      <c r="E108" s="3">
        <f t="shared" si="10"/>
        <v>0</v>
      </c>
      <c r="F108" s="3">
        <f t="shared" si="11"/>
        <v>0</v>
      </c>
      <c r="G108" s="1">
        <f t="shared" si="12"/>
        <v>0</v>
      </c>
    </row>
    <row r="109" spans="5:7" x14ac:dyDescent="0.2">
      <c r="E109" s="3">
        <f t="shared" si="10"/>
        <v>0</v>
      </c>
      <c r="F109" s="3">
        <f t="shared" si="11"/>
        <v>0</v>
      </c>
      <c r="G109" s="1">
        <f t="shared" si="12"/>
        <v>0</v>
      </c>
    </row>
    <row r="110" spans="5:7" x14ac:dyDescent="0.2">
      <c r="E110" s="3">
        <f t="shared" si="10"/>
        <v>0</v>
      </c>
      <c r="F110" s="3">
        <f t="shared" si="11"/>
        <v>0</v>
      </c>
      <c r="G110" s="1">
        <f t="shared" si="12"/>
        <v>0</v>
      </c>
    </row>
    <row r="111" spans="5:7" x14ac:dyDescent="0.2">
      <c r="E111" s="3">
        <f t="shared" si="10"/>
        <v>0</v>
      </c>
      <c r="F111" s="3">
        <f t="shared" si="11"/>
        <v>0</v>
      </c>
      <c r="G111" s="1">
        <f t="shared" si="12"/>
        <v>0</v>
      </c>
    </row>
    <row r="112" spans="5:7" x14ac:dyDescent="0.2">
      <c r="E112" s="3">
        <f t="shared" si="10"/>
        <v>0</v>
      </c>
      <c r="F112" s="3">
        <f t="shared" si="11"/>
        <v>0</v>
      </c>
      <c r="G112" s="1">
        <f t="shared" si="12"/>
        <v>0</v>
      </c>
    </row>
    <row r="113" spans="5:7" x14ac:dyDescent="0.2">
      <c r="E113" s="3">
        <f t="shared" si="10"/>
        <v>0</v>
      </c>
      <c r="F113" s="3">
        <f t="shared" si="11"/>
        <v>0</v>
      </c>
      <c r="G113" s="1">
        <f t="shared" si="12"/>
        <v>0</v>
      </c>
    </row>
    <row r="114" spans="5:7" x14ac:dyDescent="0.2">
      <c r="E114" s="3">
        <f t="shared" si="10"/>
        <v>0</v>
      </c>
      <c r="F114" s="3">
        <f t="shared" si="11"/>
        <v>0</v>
      </c>
      <c r="G114" s="1">
        <f t="shared" si="12"/>
        <v>0</v>
      </c>
    </row>
    <row r="115" spans="5:7" x14ac:dyDescent="0.2">
      <c r="E115" s="3">
        <f t="shared" si="10"/>
        <v>0</v>
      </c>
      <c r="F115" s="3">
        <f t="shared" si="11"/>
        <v>0</v>
      </c>
      <c r="G115" s="1">
        <f t="shared" si="12"/>
        <v>0</v>
      </c>
    </row>
    <row r="116" spans="5:7" x14ac:dyDescent="0.2">
      <c r="E116" s="3">
        <f t="shared" si="10"/>
        <v>0</v>
      </c>
      <c r="F116" s="3">
        <f t="shared" si="11"/>
        <v>0</v>
      </c>
      <c r="G116" s="1">
        <f t="shared" si="12"/>
        <v>0</v>
      </c>
    </row>
    <row r="117" spans="5:7" x14ac:dyDescent="0.2">
      <c r="E117" s="3">
        <f t="shared" si="10"/>
        <v>0</v>
      </c>
      <c r="F117" s="3">
        <f t="shared" si="11"/>
        <v>0</v>
      </c>
      <c r="G117" s="1">
        <f t="shared" si="12"/>
        <v>0</v>
      </c>
    </row>
    <row r="118" spans="5:7" x14ac:dyDescent="0.2">
      <c r="E118" s="3">
        <f t="shared" si="10"/>
        <v>0</v>
      </c>
      <c r="F118" s="3">
        <f t="shared" si="11"/>
        <v>0</v>
      </c>
      <c r="G118" s="1">
        <f t="shared" si="12"/>
        <v>0</v>
      </c>
    </row>
    <row r="119" spans="5:7" x14ac:dyDescent="0.2">
      <c r="E119" s="3">
        <f t="shared" si="10"/>
        <v>0</v>
      </c>
      <c r="F119" s="3">
        <f t="shared" si="11"/>
        <v>0</v>
      </c>
      <c r="G119" s="1">
        <f t="shared" si="12"/>
        <v>0</v>
      </c>
    </row>
    <row r="120" spans="5:7" x14ac:dyDescent="0.2">
      <c r="E120" s="3">
        <f t="shared" si="10"/>
        <v>0</v>
      </c>
      <c r="F120" s="3">
        <f t="shared" si="11"/>
        <v>0</v>
      </c>
      <c r="G120" s="1">
        <f t="shared" si="12"/>
        <v>0</v>
      </c>
    </row>
    <row r="121" spans="5:7" x14ac:dyDescent="0.2">
      <c r="E121" s="3">
        <f t="shared" si="10"/>
        <v>0</v>
      </c>
      <c r="F121" s="3">
        <f t="shared" si="11"/>
        <v>0</v>
      </c>
      <c r="G121" s="1">
        <f t="shared" si="12"/>
        <v>0</v>
      </c>
    </row>
    <row r="122" spans="5:7" x14ac:dyDescent="0.2">
      <c r="E122" s="3">
        <f t="shared" ref="E122:E185" si="13">INT(C122*D122)</f>
        <v>0</v>
      </c>
      <c r="F122" s="3">
        <f t="shared" ref="F122:F185" si="14">IF(INT(C122*(D122-1.5)&lt;0),0,INT(C122*(D122-1.5)))</f>
        <v>0</v>
      </c>
      <c r="G122" s="1">
        <f t="shared" ref="G122:G185" si="15">E122-(C122*1.5)-F122</f>
        <v>0</v>
      </c>
    </row>
    <row r="123" spans="5:7" x14ac:dyDescent="0.2">
      <c r="E123" s="3">
        <f t="shared" si="13"/>
        <v>0</v>
      </c>
      <c r="F123" s="3">
        <f t="shared" si="14"/>
        <v>0</v>
      </c>
      <c r="G123" s="1">
        <f t="shared" si="15"/>
        <v>0</v>
      </c>
    </row>
    <row r="124" spans="5:7" x14ac:dyDescent="0.2">
      <c r="E124" s="3">
        <f t="shared" si="13"/>
        <v>0</v>
      </c>
      <c r="F124" s="3">
        <f t="shared" si="14"/>
        <v>0</v>
      </c>
      <c r="G124" s="1">
        <f t="shared" si="15"/>
        <v>0</v>
      </c>
    </row>
    <row r="125" spans="5:7" x14ac:dyDescent="0.2">
      <c r="E125" s="3">
        <f t="shared" si="13"/>
        <v>0</v>
      </c>
      <c r="F125" s="3">
        <f t="shared" si="14"/>
        <v>0</v>
      </c>
      <c r="G125" s="1">
        <f t="shared" si="15"/>
        <v>0</v>
      </c>
    </row>
    <row r="126" spans="5:7" x14ac:dyDescent="0.2">
      <c r="E126" s="3">
        <f t="shared" si="13"/>
        <v>0</v>
      </c>
      <c r="F126" s="3">
        <f t="shared" si="14"/>
        <v>0</v>
      </c>
      <c r="G126" s="1">
        <f t="shared" si="15"/>
        <v>0</v>
      </c>
    </row>
    <row r="127" spans="5:7" x14ac:dyDescent="0.2">
      <c r="E127" s="3">
        <f t="shared" si="13"/>
        <v>0</v>
      </c>
      <c r="F127" s="3">
        <f t="shared" si="14"/>
        <v>0</v>
      </c>
      <c r="G127" s="1">
        <f t="shared" si="15"/>
        <v>0</v>
      </c>
    </row>
    <row r="128" spans="5:7" x14ac:dyDescent="0.2">
      <c r="E128" s="3">
        <f t="shared" si="13"/>
        <v>0</v>
      </c>
      <c r="F128" s="3">
        <f t="shared" si="14"/>
        <v>0</v>
      </c>
      <c r="G128" s="1">
        <f t="shared" si="15"/>
        <v>0</v>
      </c>
    </row>
    <row r="129" spans="5:7" x14ac:dyDescent="0.2">
      <c r="E129" s="3">
        <f t="shared" si="13"/>
        <v>0</v>
      </c>
      <c r="F129" s="3">
        <f t="shared" si="14"/>
        <v>0</v>
      </c>
      <c r="G129" s="1">
        <f t="shared" si="15"/>
        <v>0</v>
      </c>
    </row>
    <row r="130" spans="5:7" x14ac:dyDescent="0.2">
      <c r="E130" s="3">
        <f t="shared" si="13"/>
        <v>0</v>
      </c>
      <c r="F130" s="3">
        <f t="shared" si="14"/>
        <v>0</v>
      </c>
      <c r="G130" s="1">
        <f t="shared" si="15"/>
        <v>0</v>
      </c>
    </row>
    <row r="131" spans="5:7" x14ac:dyDescent="0.2">
      <c r="E131" s="3">
        <f t="shared" si="13"/>
        <v>0</v>
      </c>
      <c r="F131" s="3">
        <f t="shared" si="14"/>
        <v>0</v>
      </c>
      <c r="G131" s="1">
        <f t="shared" si="15"/>
        <v>0</v>
      </c>
    </row>
    <row r="132" spans="5:7" x14ac:dyDescent="0.2">
      <c r="E132" s="3">
        <f t="shared" si="13"/>
        <v>0</v>
      </c>
      <c r="F132" s="3">
        <f t="shared" si="14"/>
        <v>0</v>
      </c>
      <c r="G132" s="1">
        <f t="shared" si="15"/>
        <v>0</v>
      </c>
    </row>
    <row r="133" spans="5:7" x14ac:dyDescent="0.2">
      <c r="E133" s="3">
        <f t="shared" si="13"/>
        <v>0</v>
      </c>
      <c r="F133" s="3">
        <f t="shared" si="14"/>
        <v>0</v>
      </c>
      <c r="G133" s="1">
        <f t="shared" si="15"/>
        <v>0</v>
      </c>
    </row>
    <row r="134" spans="5:7" x14ac:dyDescent="0.2">
      <c r="E134" s="3">
        <f t="shared" si="13"/>
        <v>0</v>
      </c>
      <c r="F134" s="3">
        <f t="shared" si="14"/>
        <v>0</v>
      </c>
      <c r="G134" s="1">
        <f t="shared" si="15"/>
        <v>0</v>
      </c>
    </row>
    <row r="135" spans="5:7" x14ac:dyDescent="0.2">
      <c r="E135" s="3">
        <f t="shared" si="13"/>
        <v>0</v>
      </c>
      <c r="F135" s="3">
        <f t="shared" si="14"/>
        <v>0</v>
      </c>
      <c r="G135" s="1">
        <f t="shared" si="15"/>
        <v>0</v>
      </c>
    </row>
    <row r="136" spans="5:7" x14ac:dyDescent="0.2">
      <c r="E136" s="3">
        <f t="shared" si="13"/>
        <v>0</v>
      </c>
      <c r="F136" s="3">
        <f t="shared" si="14"/>
        <v>0</v>
      </c>
      <c r="G136" s="1">
        <f t="shared" si="15"/>
        <v>0</v>
      </c>
    </row>
    <row r="137" spans="5:7" x14ac:dyDescent="0.2">
      <c r="E137" s="3">
        <f t="shared" si="13"/>
        <v>0</v>
      </c>
      <c r="F137" s="3">
        <f t="shared" si="14"/>
        <v>0</v>
      </c>
      <c r="G137" s="1">
        <f t="shared" si="15"/>
        <v>0</v>
      </c>
    </row>
    <row r="138" spans="5:7" x14ac:dyDescent="0.2">
      <c r="E138" s="3">
        <f t="shared" si="13"/>
        <v>0</v>
      </c>
      <c r="F138" s="3">
        <f t="shared" si="14"/>
        <v>0</v>
      </c>
      <c r="G138" s="1">
        <f t="shared" si="15"/>
        <v>0</v>
      </c>
    </row>
    <row r="139" spans="5:7" x14ac:dyDescent="0.2">
      <c r="E139" s="3">
        <f t="shared" si="13"/>
        <v>0</v>
      </c>
      <c r="F139" s="3">
        <f t="shared" si="14"/>
        <v>0</v>
      </c>
      <c r="G139" s="1">
        <f t="shared" si="15"/>
        <v>0</v>
      </c>
    </row>
    <row r="140" spans="5:7" x14ac:dyDescent="0.2">
      <c r="E140" s="3">
        <f t="shared" si="13"/>
        <v>0</v>
      </c>
      <c r="F140" s="3">
        <f t="shared" si="14"/>
        <v>0</v>
      </c>
      <c r="G140" s="1">
        <f t="shared" si="15"/>
        <v>0</v>
      </c>
    </row>
    <row r="141" spans="5:7" x14ac:dyDescent="0.2">
      <c r="E141" s="3">
        <f t="shared" si="13"/>
        <v>0</v>
      </c>
      <c r="F141" s="3">
        <f t="shared" si="14"/>
        <v>0</v>
      </c>
      <c r="G141" s="1">
        <f t="shared" si="15"/>
        <v>0</v>
      </c>
    </row>
    <row r="142" spans="5:7" x14ac:dyDescent="0.2">
      <c r="E142" s="3">
        <f t="shared" si="13"/>
        <v>0</v>
      </c>
      <c r="F142" s="3">
        <f t="shared" si="14"/>
        <v>0</v>
      </c>
      <c r="G142" s="1">
        <f t="shared" si="15"/>
        <v>0</v>
      </c>
    </row>
    <row r="143" spans="5:7" x14ac:dyDescent="0.2">
      <c r="E143" s="3">
        <f t="shared" si="13"/>
        <v>0</v>
      </c>
      <c r="F143" s="3">
        <f t="shared" si="14"/>
        <v>0</v>
      </c>
      <c r="G143" s="1">
        <f t="shared" si="15"/>
        <v>0</v>
      </c>
    </row>
    <row r="144" spans="5:7" x14ac:dyDescent="0.2">
      <c r="E144" s="3">
        <f t="shared" si="13"/>
        <v>0</v>
      </c>
      <c r="F144" s="3">
        <f t="shared" si="14"/>
        <v>0</v>
      </c>
      <c r="G144" s="1">
        <f t="shared" si="15"/>
        <v>0</v>
      </c>
    </row>
    <row r="145" spans="5:7" x14ac:dyDescent="0.2">
      <c r="E145" s="3">
        <f t="shared" si="13"/>
        <v>0</v>
      </c>
      <c r="F145" s="3">
        <f t="shared" si="14"/>
        <v>0</v>
      </c>
      <c r="G145" s="1">
        <f t="shared" si="15"/>
        <v>0</v>
      </c>
    </row>
    <row r="146" spans="5:7" x14ac:dyDescent="0.2">
      <c r="E146" s="3">
        <f t="shared" si="13"/>
        <v>0</v>
      </c>
      <c r="F146" s="3">
        <f t="shared" si="14"/>
        <v>0</v>
      </c>
      <c r="G146" s="1">
        <f t="shared" si="15"/>
        <v>0</v>
      </c>
    </row>
    <row r="147" spans="5:7" x14ac:dyDescent="0.2">
      <c r="E147" s="3">
        <f t="shared" si="13"/>
        <v>0</v>
      </c>
      <c r="F147" s="3">
        <f t="shared" si="14"/>
        <v>0</v>
      </c>
      <c r="G147" s="1">
        <f t="shared" si="15"/>
        <v>0</v>
      </c>
    </row>
    <row r="148" spans="5:7" x14ac:dyDescent="0.2">
      <c r="E148" s="3">
        <f t="shared" si="13"/>
        <v>0</v>
      </c>
      <c r="F148" s="3">
        <f t="shared" si="14"/>
        <v>0</v>
      </c>
      <c r="G148" s="1">
        <f t="shared" si="15"/>
        <v>0</v>
      </c>
    </row>
    <row r="149" spans="5:7" x14ac:dyDescent="0.2">
      <c r="E149" s="3">
        <f t="shared" si="13"/>
        <v>0</v>
      </c>
      <c r="F149" s="3">
        <f t="shared" si="14"/>
        <v>0</v>
      </c>
      <c r="G149" s="1">
        <f t="shared" si="15"/>
        <v>0</v>
      </c>
    </row>
    <row r="150" spans="5:7" x14ac:dyDescent="0.2">
      <c r="E150" s="3">
        <f t="shared" si="13"/>
        <v>0</v>
      </c>
      <c r="F150" s="3">
        <f t="shared" si="14"/>
        <v>0</v>
      </c>
      <c r="G150" s="1">
        <f t="shared" si="15"/>
        <v>0</v>
      </c>
    </row>
    <row r="151" spans="5:7" x14ac:dyDescent="0.2">
      <c r="E151" s="3">
        <f t="shared" si="13"/>
        <v>0</v>
      </c>
      <c r="F151" s="3">
        <f t="shared" si="14"/>
        <v>0</v>
      </c>
      <c r="G151" s="1">
        <f t="shared" si="15"/>
        <v>0</v>
      </c>
    </row>
    <row r="152" spans="5:7" x14ac:dyDescent="0.2">
      <c r="E152" s="3">
        <f t="shared" si="13"/>
        <v>0</v>
      </c>
      <c r="F152" s="3">
        <f t="shared" si="14"/>
        <v>0</v>
      </c>
      <c r="G152" s="1">
        <f t="shared" si="15"/>
        <v>0</v>
      </c>
    </row>
    <row r="153" spans="5:7" x14ac:dyDescent="0.2">
      <c r="E153" s="3">
        <f t="shared" si="13"/>
        <v>0</v>
      </c>
      <c r="F153" s="3">
        <f t="shared" si="14"/>
        <v>0</v>
      </c>
      <c r="G153" s="1">
        <f t="shared" si="15"/>
        <v>0</v>
      </c>
    </row>
    <row r="154" spans="5:7" x14ac:dyDescent="0.2">
      <c r="E154" s="3">
        <f t="shared" si="13"/>
        <v>0</v>
      </c>
      <c r="F154" s="3">
        <f t="shared" si="14"/>
        <v>0</v>
      </c>
      <c r="G154" s="1">
        <f t="shared" si="15"/>
        <v>0</v>
      </c>
    </row>
    <row r="155" spans="5:7" x14ac:dyDescent="0.2">
      <c r="E155" s="3">
        <f t="shared" si="13"/>
        <v>0</v>
      </c>
      <c r="F155" s="3">
        <f t="shared" si="14"/>
        <v>0</v>
      </c>
      <c r="G155" s="1">
        <f t="shared" si="15"/>
        <v>0</v>
      </c>
    </row>
    <row r="156" spans="5:7" x14ac:dyDescent="0.2">
      <c r="E156" s="3">
        <f t="shared" si="13"/>
        <v>0</v>
      </c>
      <c r="F156" s="3">
        <f t="shared" si="14"/>
        <v>0</v>
      </c>
      <c r="G156" s="1">
        <f t="shared" si="15"/>
        <v>0</v>
      </c>
    </row>
    <row r="157" spans="5:7" x14ac:dyDescent="0.2">
      <c r="E157" s="3">
        <f t="shared" si="13"/>
        <v>0</v>
      </c>
      <c r="F157" s="3">
        <f t="shared" si="14"/>
        <v>0</v>
      </c>
      <c r="G157" s="1">
        <f t="shared" si="15"/>
        <v>0</v>
      </c>
    </row>
    <row r="158" spans="5:7" x14ac:dyDescent="0.2">
      <c r="E158" s="3">
        <f t="shared" si="13"/>
        <v>0</v>
      </c>
      <c r="F158" s="3">
        <f t="shared" si="14"/>
        <v>0</v>
      </c>
      <c r="G158" s="1">
        <f t="shared" si="15"/>
        <v>0</v>
      </c>
    </row>
    <row r="159" spans="5:7" x14ac:dyDescent="0.2">
      <c r="E159" s="3">
        <f t="shared" si="13"/>
        <v>0</v>
      </c>
      <c r="F159" s="3">
        <f t="shared" si="14"/>
        <v>0</v>
      </c>
      <c r="G159" s="1">
        <f t="shared" si="15"/>
        <v>0</v>
      </c>
    </row>
    <row r="160" spans="5:7" x14ac:dyDescent="0.2">
      <c r="E160" s="3">
        <f t="shared" si="13"/>
        <v>0</v>
      </c>
      <c r="F160" s="3">
        <f t="shared" si="14"/>
        <v>0</v>
      </c>
      <c r="G160" s="1">
        <f t="shared" si="15"/>
        <v>0</v>
      </c>
    </row>
    <row r="161" spans="5:7" x14ac:dyDescent="0.2">
      <c r="E161" s="3">
        <f t="shared" si="13"/>
        <v>0</v>
      </c>
      <c r="F161" s="3">
        <f t="shared" si="14"/>
        <v>0</v>
      </c>
      <c r="G161" s="1">
        <f t="shared" si="15"/>
        <v>0</v>
      </c>
    </row>
    <row r="162" spans="5:7" x14ac:dyDescent="0.2">
      <c r="E162" s="3">
        <f t="shared" si="13"/>
        <v>0</v>
      </c>
      <c r="F162" s="3">
        <f t="shared" si="14"/>
        <v>0</v>
      </c>
      <c r="G162" s="1">
        <f t="shared" si="15"/>
        <v>0</v>
      </c>
    </row>
    <row r="163" spans="5:7" x14ac:dyDescent="0.2">
      <c r="E163" s="3">
        <f t="shared" si="13"/>
        <v>0</v>
      </c>
      <c r="F163" s="3">
        <f t="shared" si="14"/>
        <v>0</v>
      </c>
      <c r="G163" s="1">
        <f t="shared" si="15"/>
        <v>0</v>
      </c>
    </row>
    <row r="164" spans="5:7" x14ac:dyDescent="0.2">
      <c r="E164" s="3">
        <f t="shared" si="13"/>
        <v>0</v>
      </c>
      <c r="F164" s="3">
        <f t="shared" si="14"/>
        <v>0</v>
      </c>
      <c r="G164" s="1">
        <f t="shared" si="15"/>
        <v>0</v>
      </c>
    </row>
    <row r="165" spans="5:7" x14ac:dyDescent="0.2">
      <c r="E165" s="3">
        <f t="shared" si="13"/>
        <v>0</v>
      </c>
      <c r="F165" s="3">
        <f t="shared" si="14"/>
        <v>0</v>
      </c>
      <c r="G165" s="1">
        <f t="shared" si="15"/>
        <v>0</v>
      </c>
    </row>
    <row r="166" spans="5:7" x14ac:dyDescent="0.2">
      <c r="E166" s="3">
        <f t="shared" si="13"/>
        <v>0</v>
      </c>
      <c r="F166" s="3">
        <f t="shared" si="14"/>
        <v>0</v>
      </c>
      <c r="G166" s="1">
        <f t="shared" si="15"/>
        <v>0</v>
      </c>
    </row>
    <row r="167" spans="5:7" x14ac:dyDescent="0.2">
      <c r="E167" s="3">
        <f t="shared" si="13"/>
        <v>0</v>
      </c>
      <c r="F167" s="3">
        <f t="shared" si="14"/>
        <v>0</v>
      </c>
      <c r="G167" s="1">
        <f t="shared" si="15"/>
        <v>0</v>
      </c>
    </row>
    <row r="168" spans="5:7" x14ac:dyDescent="0.2">
      <c r="E168" s="3">
        <f t="shared" si="13"/>
        <v>0</v>
      </c>
      <c r="F168" s="3">
        <f t="shared" si="14"/>
        <v>0</v>
      </c>
      <c r="G168" s="1">
        <f t="shared" si="15"/>
        <v>0</v>
      </c>
    </row>
    <row r="169" spans="5:7" x14ac:dyDescent="0.2">
      <c r="E169" s="3">
        <f t="shared" si="13"/>
        <v>0</v>
      </c>
      <c r="F169" s="3">
        <f t="shared" si="14"/>
        <v>0</v>
      </c>
      <c r="G169" s="1">
        <f t="shared" si="15"/>
        <v>0</v>
      </c>
    </row>
    <row r="170" spans="5:7" x14ac:dyDescent="0.2">
      <c r="E170" s="3">
        <f t="shared" si="13"/>
        <v>0</v>
      </c>
      <c r="F170" s="3">
        <f t="shared" si="14"/>
        <v>0</v>
      </c>
      <c r="G170" s="1">
        <f t="shared" si="15"/>
        <v>0</v>
      </c>
    </row>
    <row r="171" spans="5:7" x14ac:dyDescent="0.2">
      <c r="E171" s="3">
        <f t="shared" si="13"/>
        <v>0</v>
      </c>
      <c r="F171" s="3">
        <f t="shared" si="14"/>
        <v>0</v>
      </c>
      <c r="G171" s="1">
        <f t="shared" si="15"/>
        <v>0</v>
      </c>
    </row>
    <row r="172" spans="5:7" x14ac:dyDescent="0.2">
      <c r="E172" s="3">
        <f t="shared" si="13"/>
        <v>0</v>
      </c>
      <c r="F172" s="3">
        <f t="shared" si="14"/>
        <v>0</v>
      </c>
      <c r="G172" s="1">
        <f t="shared" si="15"/>
        <v>0</v>
      </c>
    </row>
    <row r="173" spans="5:7" x14ac:dyDescent="0.2">
      <c r="E173" s="3">
        <f t="shared" si="13"/>
        <v>0</v>
      </c>
      <c r="F173" s="3">
        <f t="shared" si="14"/>
        <v>0</v>
      </c>
      <c r="G173" s="1">
        <f t="shared" si="15"/>
        <v>0</v>
      </c>
    </row>
    <row r="174" spans="5:7" x14ac:dyDescent="0.2">
      <c r="E174" s="3">
        <f t="shared" si="13"/>
        <v>0</v>
      </c>
      <c r="F174" s="3">
        <f t="shared" si="14"/>
        <v>0</v>
      </c>
      <c r="G174" s="1">
        <f t="shared" si="15"/>
        <v>0</v>
      </c>
    </row>
    <row r="175" spans="5:7" x14ac:dyDescent="0.2">
      <c r="E175" s="3">
        <f t="shared" si="13"/>
        <v>0</v>
      </c>
      <c r="F175" s="3">
        <f t="shared" si="14"/>
        <v>0</v>
      </c>
      <c r="G175" s="1">
        <f t="shared" si="15"/>
        <v>0</v>
      </c>
    </row>
    <row r="176" spans="5:7" x14ac:dyDescent="0.2">
      <c r="E176" s="3">
        <f t="shared" si="13"/>
        <v>0</v>
      </c>
      <c r="F176" s="3">
        <f t="shared" si="14"/>
        <v>0</v>
      </c>
      <c r="G176" s="1">
        <f t="shared" si="15"/>
        <v>0</v>
      </c>
    </row>
    <row r="177" spans="5:7" x14ac:dyDescent="0.2">
      <c r="E177" s="3">
        <f t="shared" si="13"/>
        <v>0</v>
      </c>
      <c r="F177" s="3">
        <f t="shared" si="14"/>
        <v>0</v>
      </c>
      <c r="G177" s="1">
        <f t="shared" si="15"/>
        <v>0</v>
      </c>
    </row>
    <row r="178" spans="5:7" x14ac:dyDescent="0.2">
      <c r="E178" s="3">
        <f t="shared" si="13"/>
        <v>0</v>
      </c>
      <c r="F178" s="3">
        <f t="shared" si="14"/>
        <v>0</v>
      </c>
      <c r="G178" s="1">
        <f t="shared" si="15"/>
        <v>0</v>
      </c>
    </row>
    <row r="179" spans="5:7" x14ac:dyDescent="0.2">
      <c r="E179" s="3">
        <f t="shared" si="13"/>
        <v>0</v>
      </c>
      <c r="F179" s="3">
        <f t="shared" si="14"/>
        <v>0</v>
      </c>
      <c r="G179" s="1">
        <f t="shared" si="15"/>
        <v>0</v>
      </c>
    </row>
    <row r="180" spans="5:7" x14ac:dyDescent="0.2">
      <c r="E180" s="3">
        <f t="shared" si="13"/>
        <v>0</v>
      </c>
      <c r="F180" s="3">
        <f t="shared" si="14"/>
        <v>0</v>
      </c>
      <c r="G180" s="1">
        <f t="shared" si="15"/>
        <v>0</v>
      </c>
    </row>
    <row r="181" spans="5:7" x14ac:dyDescent="0.2">
      <c r="E181" s="3">
        <f t="shared" si="13"/>
        <v>0</v>
      </c>
      <c r="F181" s="3">
        <f t="shared" si="14"/>
        <v>0</v>
      </c>
      <c r="G181" s="1">
        <f t="shared" si="15"/>
        <v>0</v>
      </c>
    </row>
    <row r="182" spans="5:7" x14ac:dyDescent="0.2">
      <c r="E182" s="3">
        <f t="shared" si="13"/>
        <v>0</v>
      </c>
      <c r="F182" s="3">
        <f t="shared" si="14"/>
        <v>0</v>
      </c>
      <c r="G182" s="1">
        <f t="shared" si="15"/>
        <v>0</v>
      </c>
    </row>
    <row r="183" spans="5:7" x14ac:dyDescent="0.2">
      <c r="E183" s="3">
        <f t="shared" si="13"/>
        <v>0</v>
      </c>
      <c r="F183" s="3">
        <f t="shared" si="14"/>
        <v>0</v>
      </c>
      <c r="G183" s="1">
        <f t="shared" si="15"/>
        <v>0</v>
      </c>
    </row>
    <row r="184" spans="5:7" x14ac:dyDescent="0.2">
      <c r="E184" s="3">
        <f t="shared" si="13"/>
        <v>0</v>
      </c>
      <c r="F184" s="3">
        <f t="shared" si="14"/>
        <v>0</v>
      </c>
      <c r="G184" s="1">
        <f t="shared" si="15"/>
        <v>0</v>
      </c>
    </row>
    <row r="185" spans="5:7" x14ac:dyDescent="0.2">
      <c r="E185" s="3">
        <f t="shared" si="13"/>
        <v>0</v>
      </c>
      <c r="F185" s="3">
        <f t="shared" si="14"/>
        <v>0</v>
      </c>
      <c r="G185" s="1">
        <f t="shared" si="15"/>
        <v>0</v>
      </c>
    </row>
    <row r="186" spans="5:7" x14ac:dyDescent="0.2">
      <c r="E186" s="3">
        <f t="shared" ref="E186:E190" si="16">INT(C186*D186)</f>
        <v>0</v>
      </c>
      <c r="F186" s="3">
        <f t="shared" ref="F186:F190" si="17">IF(INT(C186*(D186-1.5)&lt;0),0,INT(C186*(D186-1.5)))</f>
        <v>0</v>
      </c>
      <c r="G186" s="1">
        <f t="shared" ref="G186:G190" si="18">E186-(C186*1.5)-F186</f>
        <v>0</v>
      </c>
    </row>
    <row r="187" spans="5:7" x14ac:dyDescent="0.2">
      <c r="E187" s="3">
        <f t="shared" si="16"/>
        <v>0</v>
      </c>
      <c r="F187" s="3">
        <f t="shared" si="17"/>
        <v>0</v>
      </c>
      <c r="G187" s="1">
        <f t="shared" si="18"/>
        <v>0</v>
      </c>
    </row>
    <row r="188" spans="5:7" x14ac:dyDescent="0.2">
      <c r="E188" s="3">
        <f t="shared" si="16"/>
        <v>0</v>
      </c>
      <c r="F188" s="3">
        <f t="shared" si="17"/>
        <v>0</v>
      </c>
      <c r="G188" s="1">
        <f t="shared" si="18"/>
        <v>0</v>
      </c>
    </row>
    <row r="189" spans="5:7" x14ac:dyDescent="0.2">
      <c r="E189" s="3">
        <f t="shared" si="16"/>
        <v>0</v>
      </c>
      <c r="F189" s="3">
        <f t="shared" si="17"/>
        <v>0</v>
      </c>
      <c r="G189" s="1">
        <f t="shared" si="18"/>
        <v>0</v>
      </c>
    </row>
    <row r="190" spans="5:7" x14ac:dyDescent="0.2">
      <c r="E190" s="3">
        <f t="shared" si="16"/>
        <v>0</v>
      </c>
      <c r="F190" s="3">
        <f t="shared" si="17"/>
        <v>0</v>
      </c>
      <c r="G190" s="1">
        <f t="shared" si="18"/>
        <v>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SÔ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USER;1</dc:creator>
  <cp:lastModifiedBy>Windows User</cp:lastModifiedBy>
  <cp:lastPrinted>2010-10-29T08:49:00Z</cp:lastPrinted>
  <dcterms:created xsi:type="dcterms:W3CDTF">2006-09-03T03:20:45Z</dcterms:created>
  <dcterms:modified xsi:type="dcterms:W3CDTF">2026-04-26T03:18:27Z</dcterms:modified>
</cp:coreProperties>
</file>